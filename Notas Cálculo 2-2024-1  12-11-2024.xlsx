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<sst xmlns="http://schemas.openxmlformats.org/spreadsheetml/2006/main" count="220" uniqueCount="183">
  <si>
    <t>Cálculo 2-2024-1</t>
  </si>
  <si>
    <t/>
  </si>
  <si>
    <t>01 de ago.</t>
  </si>
  <si>
    <t>08 de ago.</t>
  </si>
  <si>
    <t>15 de ago.</t>
  </si>
  <si>
    <t>03 de set.</t>
  </si>
  <si>
    <t>04 de set.</t>
  </si>
  <si>
    <t>05 de set.</t>
  </si>
  <si>
    <t>10 de set.</t>
  </si>
  <si>
    <t>12 de set.</t>
  </si>
  <si>
    <t>14 de set.</t>
  </si>
  <si>
    <t>26 de set.</t>
  </si>
  <si>
    <t>03 de out.</t>
  </si>
  <si>
    <t>10 de out.</t>
  </si>
  <si>
    <t>23 de out.</t>
  </si>
  <si>
    <t>29 de out.</t>
  </si>
  <si>
    <t>31 de out.</t>
  </si>
  <si>
    <t>02 de nov.</t>
  </si>
  <si>
    <t>12 de nov.</t>
  </si>
  <si>
    <t>lista 1</t>
  </si>
  <si>
    <t>lista 2</t>
  </si>
  <si>
    <t>lista 3</t>
  </si>
  <si>
    <t>Lista 4</t>
  </si>
  <si>
    <t>nota extra prova 1</t>
  </si>
  <si>
    <t>prova 1</t>
  </si>
  <si>
    <t>lista 5</t>
  </si>
  <si>
    <t>nota extra prova 2</t>
  </si>
  <si>
    <t>prova 2</t>
  </si>
  <si>
    <t>lista 6</t>
  </si>
  <si>
    <t>lista 7</t>
  </si>
  <si>
    <t>lista 8</t>
  </si>
  <si>
    <t>nota extra prova 3</t>
  </si>
  <si>
    <t>prova 3</t>
  </si>
  <si>
    <t>lista 9</t>
  </si>
  <si>
    <t>lista 10</t>
  </si>
  <si>
    <t>nota extra prova 4</t>
  </si>
  <si>
    <t>prova 4</t>
  </si>
  <si>
    <t>Média da turma</t>
  </si>
  <si>
    <t>ab2</t>
  </si>
  <si>
    <t>FERREIRA DIAS DE SOUZA</t>
  </si>
  <si>
    <t xml:space="preserve"> LARISSA </t>
  </si>
  <si>
    <t>lfds@ic.ufal.br</t>
  </si>
  <si>
    <t>dos Santos Mesquita</t>
  </si>
  <si>
    <t xml:space="preserve">Adeilton </t>
  </si>
  <si>
    <t>asm4@ic.ufal.br</t>
  </si>
  <si>
    <t>Gomes</t>
  </si>
  <si>
    <t>Amanda</t>
  </si>
  <si>
    <t>amanda.gomes@iqb.ufal.br</t>
  </si>
  <si>
    <t>Santos</t>
  </si>
  <si>
    <t>Anthony</t>
  </si>
  <si>
    <t>anthony.santos@iqb.ufal.br</t>
  </si>
  <si>
    <t>Duarte</t>
  </si>
  <si>
    <t>Barbara</t>
  </si>
  <si>
    <t>barbara.duarte@ctec.ufal.br</t>
  </si>
  <si>
    <t>VINICIUS DE SOUZA CASSIMIRO</t>
  </si>
  <si>
    <t xml:space="preserve">CARLOS </t>
  </si>
  <si>
    <t>cvsc@ic.ufal.br</t>
  </si>
  <si>
    <t>França dos Anjos</t>
  </si>
  <si>
    <t>Caio Oliveira</t>
  </si>
  <si>
    <t>cofa@ic.ufal.br</t>
  </si>
  <si>
    <t>CELESTINO DOS SANTOS BARBOSA</t>
  </si>
  <si>
    <t xml:space="preserve">DAVI </t>
  </si>
  <si>
    <t>dcsb@ic.ufal.br</t>
  </si>
  <si>
    <t>Lima</t>
  </si>
  <si>
    <t>Diogo</t>
  </si>
  <si>
    <t>diogo.lima@ctec.ufal.br</t>
  </si>
  <si>
    <t>Rocha</t>
  </si>
  <si>
    <t xml:space="preserve">Emily Vitória de Jesus </t>
  </si>
  <si>
    <t>evjr@ic.ufal.br</t>
  </si>
  <si>
    <t>Fabrício Maciel Neumann</t>
  </si>
  <si>
    <t>fabriciomneumann@gmail.com</t>
  </si>
  <si>
    <t>de Lima Santos</t>
  </si>
  <si>
    <t xml:space="preserve">Gabriel </t>
  </si>
  <si>
    <t>gabriel.santos@fis.ufal.br</t>
  </si>
  <si>
    <t>Souza</t>
  </si>
  <si>
    <t>Geovani</t>
  </si>
  <si>
    <t>geovani.souza@ctec.ufal.br</t>
  </si>
  <si>
    <t xml:space="preserve"> Alves Barbosa de Oliveira</t>
  </si>
  <si>
    <t>Giovanna</t>
  </si>
  <si>
    <t>gabo@ic.ufal.br</t>
  </si>
  <si>
    <t>BARROS QUEIROZ NETO</t>
  </si>
  <si>
    <t xml:space="preserve">HUMBERTO </t>
  </si>
  <si>
    <t>hbqn@ic.ufal.br</t>
  </si>
  <si>
    <t xml:space="preserve"> Duarte Tenorio </t>
  </si>
  <si>
    <t>Jean Felipe</t>
  </si>
  <si>
    <t>jfdt@ic.ufal.br</t>
  </si>
  <si>
    <t>Tenorio Venancio</t>
  </si>
  <si>
    <t xml:space="preserve">Joao Victor </t>
  </si>
  <si>
    <t>jvtv@ic.ufal.br</t>
  </si>
  <si>
    <t>FELIPE MELO DE OLIVEIRA</t>
  </si>
  <si>
    <t xml:space="preserve">KALLEB </t>
  </si>
  <si>
    <t>kfmo@ic.ufal.br</t>
  </si>
  <si>
    <t>LESSA LIMA DOS SANTOS</t>
  </si>
  <si>
    <t xml:space="preserve">KAUA </t>
  </si>
  <si>
    <t>klls@ic.ufal.br</t>
  </si>
  <si>
    <t xml:space="preserve">da Silva </t>
  </si>
  <si>
    <t xml:space="preserve">Karllisson Henrique </t>
  </si>
  <si>
    <t>khs@ic.ufal.br</t>
  </si>
  <si>
    <t xml:space="preserve">Lima Albuquerque	</t>
  </si>
  <si>
    <t>Leandro</t>
  </si>
  <si>
    <t>lla@ic.ufal.br</t>
  </si>
  <si>
    <t>Farias da Silva</t>
  </si>
  <si>
    <t>Levi</t>
  </si>
  <si>
    <t>lfs@ic.ufal.br</t>
  </si>
  <si>
    <t>Luana</t>
  </si>
  <si>
    <t>luana.duarte@ctec.ufal.br</t>
  </si>
  <si>
    <t>Guimarães Beelen</t>
  </si>
  <si>
    <t xml:space="preserve">Lucas </t>
  </si>
  <si>
    <t>lucasgb@ic.ufal.br</t>
  </si>
  <si>
    <t>Silva dos Santos</t>
  </si>
  <si>
    <t>Lucas Vinicius</t>
  </si>
  <si>
    <t>lvss@ic.ufal.br</t>
  </si>
  <si>
    <t>Luiz Henrique Lima Leite</t>
  </si>
  <si>
    <t>luizhenrique20017x@gmail.com</t>
  </si>
  <si>
    <t>Barbosa Bispo</t>
  </si>
  <si>
    <t xml:space="preserve">Maisa </t>
  </si>
  <si>
    <t>mbb@ic.ufal.br</t>
  </si>
  <si>
    <t>Ferreira</t>
  </si>
  <si>
    <t>Maria</t>
  </si>
  <si>
    <t>maria.gizelly@iqb.ufal.br</t>
  </si>
  <si>
    <t>Machado Paulino</t>
  </si>
  <si>
    <t xml:space="preserve">Miguel </t>
  </si>
  <si>
    <t>mmp@ic.ufal.br</t>
  </si>
  <si>
    <t xml:space="preserve">Alves Sousa Moreira </t>
  </si>
  <si>
    <t xml:space="preserve">Nelson </t>
  </si>
  <si>
    <t>nasm@ic.ufal.br</t>
  </si>
  <si>
    <t>Firmo</t>
  </si>
  <si>
    <t>Noemi</t>
  </si>
  <si>
    <t>noemi.firmo@ctec.ufal.br</t>
  </si>
  <si>
    <t>JOSHUA COSTA BRANDAO MENEZES</t>
  </si>
  <si>
    <t xml:space="preserve">OTAVIO </t>
  </si>
  <si>
    <t>ojcbm@ic.ufal.br</t>
  </si>
  <si>
    <t>Neto</t>
  </si>
  <si>
    <t>Odilon</t>
  </si>
  <si>
    <t>odilon.neto@ctec.ufal.br</t>
  </si>
  <si>
    <t>de Oliveira Cordeiro</t>
  </si>
  <si>
    <t xml:space="preserve">Plácido Augustus </t>
  </si>
  <si>
    <t>paoc@ic.ufal.br</t>
  </si>
  <si>
    <t>ANTONIO DA SILVA SANTOS</t>
  </si>
  <si>
    <t xml:space="preserve">RAFAEL </t>
  </si>
  <si>
    <t>rass@ic.ufal.br</t>
  </si>
  <si>
    <t>AMARAL SALEME</t>
  </si>
  <si>
    <t xml:space="preserve">RAFAEL JOSE </t>
  </si>
  <si>
    <t>rjas@ic.ufal.br</t>
  </si>
  <si>
    <t>NOBRE ALVES</t>
  </si>
  <si>
    <t>RAILAN</t>
  </si>
  <si>
    <t>rna1@aluno.ifal.edu.br</t>
  </si>
  <si>
    <t>PINTO CARDOSO JUNIOR</t>
  </si>
  <si>
    <t xml:space="preserve">RICARDO </t>
  </si>
  <si>
    <t>rpcj@ic.ufal.br</t>
  </si>
  <si>
    <t>Saleme</t>
  </si>
  <si>
    <t>Rafael</t>
  </si>
  <si>
    <t>rafaelsaleme1@gmail.com</t>
  </si>
  <si>
    <t xml:space="preserve"> Ferreira Athayde </t>
  </si>
  <si>
    <t>Raniel</t>
  </si>
  <si>
    <t>rfa@ic.ufal.br</t>
  </si>
  <si>
    <t xml:space="preserve"> Correia dos Santos</t>
  </si>
  <si>
    <t>Robson de Paula</t>
  </si>
  <si>
    <t>rpcs@ic.ufal.br</t>
  </si>
  <si>
    <t>Nascimento</t>
  </si>
  <si>
    <t>Rodrigo</t>
  </si>
  <si>
    <t>rodrigo.nascimento.al@gmail.com</t>
  </si>
  <si>
    <t>GOMES DA SILVA NETO</t>
  </si>
  <si>
    <t xml:space="preserve">VALTER </t>
  </si>
  <si>
    <t>vgsn@ic.ufal.br</t>
  </si>
  <si>
    <t>GABRIEL DOS SANTOS OLIVEIRA</t>
  </si>
  <si>
    <t xml:space="preserve">VITOR </t>
  </si>
  <si>
    <t>vgso@ic.ufal.br</t>
  </si>
  <si>
    <t>Avila Canuto de Araujo</t>
  </si>
  <si>
    <t xml:space="preserve">Victor Manoel </t>
  </si>
  <si>
    <t>vmaca@ic.ufal.br</t>
  </si>
  <si>
    <t>Barbosa do Nascimento</t>
  </si>
  <si>
    <t xml:space="preserve">Vinícius </t>
  </si>
  <si>
    <t>vbn@ic.ufal.br</t>
  </si>
  <si>
    <t xml:space="preserve">Santana Bigi </t>
  </si>
  <si>
    <t xml:space="preserve">Vitória Maria </t>
  </si>
  <si>
    <t>vmsb@ic.ufal.br</t>
  </si>
  <si>
    <t xml:space="preserve">Nascimento Oliveira </t>
  </si>
  <si>
    <t xml:space="preserve">Yasmin Antonela </t>
  </si>
  <si>
    <t>yano@ic.ufal.br</t>
  </si>
  <si>
    <t>NATY DOS SANTOS</t>
  </si>
  <si>
    <t xml:space="preserve">ZILDERLAN </t>
  </si>
  <si>
    <t>zns@ic.ufal.br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</si>
</sst>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1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F6368"/>
        <bgColor rgb="FF5F6368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5F6368"/>
      </left>
      <right style="thin">
        <color rgb="FF5F6368"/>
      </right>
      <top style="thin">
        <color rgb="FF5F6368"/>
      </top>
      <bottom style="thin">
        <color rgb="FF5F636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ont="1" applyNumberFormat="1">
      <alignment horizontal="left" vertical="center"/>
    </xf>
    <xf borderId="2" fillId="4" fontId="9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22" width="16.0"/>
    <col customWidth="1" min="23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</row>
    <row r="2" ht="24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35</v>
      </c>
      <c r="V2" s="4" t="s">
        <v>36</v>
      </c>
    </row>
    <row r="3" ht="24.0" customHeight="1">
      <c r="A3" s="5" t="str">
        <f>hyperlink("https://classroom.google.com/c/Njk0MDk3NDIyMDI3", upper("Abrir sala de aula"))</f>
        <v>ABRIR SALA DE AULA</v>
      </c>
      <c r="B3" s="6" t="s">
        <v>1</v>
      </c>
      <c r="C3" s="6" t="s">
        <v>1</v>
      </c>
      <c r="D3" s="6" t="s">
        <v>1</v>
      </c>
      <c r="E3" s="2">
        <v>100.0</v>
      </c>
      <c r="F3" s="2">
        <v>100.0</v>
      </c>
      <c r="G3" s="2">
        <v>100.0</v>
      </c>
      <c r="H3" s="2">
        <v>100.0</v>
      </c>
      <c r="I3" s="2">
        <v>100.0</v>
      </c>
      <c r="J3" s="2">
        <v>100.0</v>
      </c>
      <c r="K3" s="2">
        <v>100.0</v>
      </c>
      <c r="L3" s="2">
        <v>100.0</v>
      </c>
      <c r="M3" s="2">
        <v>100.0</v>
      </c>
      <c r="N3" s="2">
        <v>100.0</v>
      </c>
      <c r="O3" s="2">
        <v>100.0</v>
      </c>
      <c r="P3" s="2">
        <v>100.0</v>
      </c>
      <c r="Q3" s="2">
        <v>100.0</v>
      </c>
      <c r="R3" s="2">
        <v>100.0</v>
      </c>
      <c r="S3" s="2">
        <v>100.0</v>
      </c>
      <c r="T3" s="2">
        <v>100.0</v>
      </c>
      <c r="U3" s="2">
        <v>100.0</v>
      </c>
      <c r="V3" s="2">
        <v>100.0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7" t="s">
        <v>1</v>
      </c>
      <c r="V4" s="7" t="s">
        <v>1</v>
      </c>
    </row>
    <row r="5" ht="24.0" customHeight="1">
      <c r="A5" s="8" t="s">
        <v>37</v>
      </c>
      <c r="B5" s="8" t="s">
        <v>1</v>
      </c>
      <c r="C5" s="8" t="s">
        <v>1</v>
      </c>
      <c r="D5" s="9">
        <f>iferror(sumifs(E5:V5,E5:V5,"&lt;&gt;",E4:V4,"")/sumifs(E3:V3,E5:V5,"&lt;&gt;",E4:V4,""),"")</f>
        <v>0.5758817095</v>
      </c>
      <c r="E5" s="10">
        <f t="shared" ref="E5:V5" si="1">iferror(average(E6:E54),"")</f>
        <v>82.4</v>
      </c>
      <c r="F5" s="10">
        <f t="shared" si="1"/>
        <v>81.91666667</v>
      </c>
      <c r="G5" s="10">
        <f t="shared" si="1"/>
        <v>83.75</v>
      </c>
      <c r="H5" s="10">
        <f t="shared" si="1"/>
        <v>78.57142857</v>
      </c>
      <c r="I5" s="10">
        <f t="shared" si="1"/>
        <v>4.464285714</v>
      </c>
      <c r="J5" s="10">
        <f t="shared" si="1"/>
        <v>46.54054054</v>
      </c>
      <c r="K5" s="10">
        <f t="shared" si="1"/>
        <v>85.04545455</v>
      </c>
      <c r="L5" s="10">
        <f t="shared" si="1"/>
        <v>6.3</v>
      </c>
      <c r="M5" s="10">
        <f t="shared" si="1"/>
        <v>48.90909091</v>
      </c>
      <c r="N5" s="10">
        <f t="shared" si="1"/>
        <v>72.76</v>
      </c>
      <c r="O5" s="10">
        <f t="shared" si="1"/>
        <v>77.25</v>
      </c>
      <c r="P5" s="10">
        <f t="shared" si="1"/>
        <v>87.60869565</v>
      </c>
      <c r="Q5" s="10">
        <f t="shared" si="1"/>
        <v>5</v>
      </c>
      <c r="R5" s="10">
        <f t="shared" si="1"/>
        <v>45.46875</v>
      </c>
      <c r="S5" s="10">
        <f t="shared" si="1"/>
        <v>81.95454545</v>
      </c>
      <c r="T5" s="10">
        <f t="shared" si="1"/>
        <v>91.47619048</v>
      </c>
      <c r="U5" s="10">
        <f t="shared" si="1"/>
        <v>4.571428571</v>
      </c>
      <c r="V5" s="10">
        <f t="shared" si="1"/>
        <v>52.6</v>
      </c>
      <c r="W5" s="11" t="s">
        <v>38</v>
      </c>
    </row>
    <row r="6" ht="24.0" customHeight="1">
      <c r="A6" s="12" t="s">
        <v>39</v>
      </c>
      <c r="B6" s="12" t="s">
        <v>40</v>
      </c>
      <c r="C6" s="12" t="s">
        <v>41</v>
      </c>
      <c r="D6" s="13">
        <f>iferror(sumif(E6:V6,"&lt;&gt;")/sumif(E6:V6,"&lt;&gt;",E3:V3),"")</f>
        <v>0.7311764706</v>
      </c>
      <c r="E6" s="12">
        <v>90.0</v>
      </c>
      <c r="F6" s="12">
        <v>98.0</v>
      </c>
      <c r="G6" s="12">
        <v>100.0</v>
      </c>
      <c r="H6" s="12">
        <v>100.0</v>
      </c>
      <c r="I6" s="12">
        <v>5.0</v>
      </c>
      <c r="J6" s="12">
        <v>61.0</v>
      </c>
      <c r="K6" s="12">
        <v>98.0</v>
      </c>
      <c r="L6" s="12">
        <v>4.0</v>
      </c>
      <c r="M6" s="12">
        <v>70.0</v>
      </c>
      <c r="N6" s="12">
        <v>90.0</v>
      </c>
      <c r="O6" s="12">
        <v>100.0</v>
      </c>
      <c r="P6" s="12">
        <v>90.0</v>
      </c>
      <c r="Q6" s="12">
        <v>5.0</v>
      </c>
      <c r="R6" s="12">
        <v>70.0</v>
      </c>
      <c r="S6" s="12">
        <v>95.0</v>
      </c>
      <c r="T6" s="12">
        <v>95.0</v>
      </c>
      <c r="U6" s="12"/>
      <c r="V6" s="12">
        <v>72.0</v>
      </c>
      <c r="W6" s="14">
        <f t="shared" ref="W6:W54" si="2">(N6+O6+P6+S6+T6)/5*0.2+(R6+V6)/2*0.8+Q6+U6</f>
        <v>80.6</v>
      </c>
    </row>
    <row r="7" ht="24.0" customHeight="1">
      <c r="A7" s="12" t="s">
        <v>42</v>
      </c>
      <c r="B7" s="12" t="s">
        <v>43</v>
      </c>
      <c r="C7" s="12" t="s">
        <v>44</v>
      </c>
      <c r="D7" s="13">
        <f>iferror(sumif(E7:V7,"&lt;&gt;")/sumif(E7:V7,"&lt;&gt;",E3:V3),"")</f>
        <v>0.5518181818</v>
      </c>
      <c r="E7" s="12">
        <v>70.0</v>
      </c>
      <c r="F7" s="12">
        <v>60.0</v>
      </c>
      <c r="G7" s="12">
        <v>100.0</v>
      </c>
      <c r="H7" s="12"/>
      <c r="I7" s="12"/>
      <c r="J7" s="12">
        <v>25.0</v>
      </c>
      <c r="K7" s="12"/>
      <c r="L7" s="12"/>
      <c r="M7" s="12">
        <v>35.0</v>
      </c>
      <c r="N7" s="12">
        <v>90.0</v>
      </c>
      <c r="O7" s="12">
        <v>50.0</v>
      </c>
      <c r="P7" s="12"/>
      <c r="Q7" s="12"/>
      <c r="R7" s="12">
        <v>5.0</v>
      </c>
      <c r="S7" s="12">
        <v>60.0</v>
      </c>
      <c r="T7" s="12">
        <v>90.0</v>
      </c>
      <c r="U7" s="12"/>
      <c r="V7" s="12">
        <v>22.0</v>
      </c>
      <c r="W7" s="14">
        <f t="shared" si="2"/>
        <v>22.4</v>
      </c>
    </row>
    <row r="8" ht="24.0" customHeight="1">
      <c r="A8" s="12" t="s">
        <v>45</v>
      </c>
      <c r="B8" s="12" t="s">
        <v>46</v>
      </c>
      <c r="C8" s="12" t="s">
        <v>47</v>
      </c>
      <c r="D8" s="13" t="str">
        <f>iferror(sumif(E8:V8,"&lt;&gt;")/sumif(E8:V8,"&lt;&gt;",E3:V3),"")</f>
        <v/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4">
        <f t="shared" si="2"/>
        <v>0</v>
      </c>
    </row>
    <row r="9" ht="24.0" customHeight="1">
      <c r="A9" s="12" t="s">
        <v>48</v>
      </c>
      <c r="B9" s="12" t="s">
        <v>49</v>
      </c>
      <c r="C9" s="12" t="s">
        <v>50</v>
      </c>
      <c r="D9" s="13">
        <f>iferror(sumif(E9:V9,"&lt;&gt;")/sumif(E9:V9,"&lt;&gt;",E3:V3),"")</f>
        <v>0.4042857143</v>
      </c>
      <c r="E9" s="12">
        <v>80.0</v>
      </c>
      <c r="F9" s="12">
        <v>70.0</v>
      </c>
      <c r="G9" s="12">
        <v>20.0</v>
      </c>
      <c r="H9" s="12">
        <v>60.0</v>
      </c>
      <c r="I9" s="12"/>
      <c r="J9" s="12">
        <v>3.0</v>
      </c>
      <c r="K9" s="12">
        <v>50.0</v>
      </c>
      <c r="L9" s="12"/>
      <c r="M9" s="12">
        <v>0.0</v>
      </c>
      <c r="N9" s="12"/>
      <c r="O9" s="12"/>
      <c r="P9" s="12"/>
      <c r="Q9" s="12"/>
      <c r="R9" s="12"/>
      <c r="S9" s="12"/>
      <c r="T9" s="12"/>
      <c r="U9" s="12"/>
      <c r="V9" s="12"/>
      <c r="W9" s="14">
        <f t="shared" si="2"/>
        <v>0</v>
      </c>
    </row>
    <row r="10" ht="24.0" customHeight="1">
      <c r="A10" s="12" t="s">
        <v>51</v>
      </c>
      <c r="B10" s="12" t="s">
        <v>52</v>
      </c>
      <c r="C10" s="12" t="s">
        <v>53</v>
      </c>
      <c r="D10" s="13" t="str">
        <f>iferror(sumif(E10:V10,"&lt;&gt;")/sumif(E10:V10,"&lt;&gt;",E3:V3),"")</f>
        <v/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4">
        <f t="shared" si="2"/>
        <v>0</v>
      </c>
    </row>
    <row r="11" ht="24.0" customHeight="1">
      <c r="A11" s="12" t="s">
        <v>54</v>
      </c>
      <c r="B11" s="12" t="s">
        <v>55</v>
      </c>
      <c r="C11" s="12" t="s">
        <v>56</v>
      </c>
      <c r="D11" s="13">
        <f>iferror(sumif(E11:V11,"&lt;&gt;")/sumif(E11:V11,"&lt;&gt;",E3:V3),"")</f>
        <v>0.7330769231</v>
      </c>
      <c r="E11" s="12">
        <v>90.0</v>
      </c>
      <c r="F11" s="12">
        <v>95.0</v>
      </c>
      <c r="G11" s="12">
        <v>90.0</v>
      </c>
      <c r="H11" s="12">
        <v>40.0</v>
      </c>
      <c r="I11" s="12"/>
      <c r="J11" s="12">
        <v>58.0</v>
      </c>
      <c r="K11" s="12"/>
      <c r="L11" s="12"/>
      <c r="M11" s="12">
        <v>77.0</v>
      </c>
      <c r="N11" s="12"/>
      <c r="O11" s="12">
        <v>100.0</v>
      </c>
      <c r="P11" s="12">
        <v>90.0</v>
      </c>
      <c r="Q11" s="12">
        <v>5.0</v>
      </c>
      <c r="R11" s="12">
        <v>75.0</v>
      </c>
      <c r="S11" s="12">
        <v>60.0</v>
      </c>
      <c r="T11" s="12">
        <v>80.0</v>
      </c>
      <c r="U11" s="12"/>
      <c r="V11" s="12">
        <v>93.0</v>
      </c>
      <c r="W11" s="14">
        <f t="shared" si="2"/>
        <v>85.4</v>
      </c>
    </row>
    <row r="12" ht="24.0" customHeight="1">
      <c r="A12" s="12" t="s">
        <v>57</v>
      </c>
      <c r="B12" s="12" t="s">
        <v>58</v>
      </c>
      <c r="C12" s="12" t="s">
        <v>59</v>
      </c>
      <c r="D12" s="13">
        <f>iferror(sumif(E12:V12,"&lt;&gt;")/sumif(E12:V12,"&lt;&gt;",E3:V3),"")</f>
        <v>0.6922222222</v>
      </c>
      <c r="E12" s="12">
        <v>90.0</v>
      </c>
      <c r="F12" s="12">
        <v>95.0</v>
      </c>
      <c r="G12" s="12">
        <v>90.0</v>
      </c>
      <c r="H12" s="12">
        <v>100.0</v>
      </c>
      <c r="I12" s="12">
        <v>5.0</v>
      </c>
      <c r="J12" s="12">
        <v>82.0</v>
      </c>
      <c r="K12" s="12">
        <v>100.0</v>
      </c>
      <c r="L12" s="12">
        <v>5.0</v>
      </c>
      <c r="M12" s="12">
        <v>75.0</v>
      </c>
      <c r="N12" s="12">
        <v>80.0</v>
      </c>
      <c r="O12" s="12">
        <v>100.0</v>
      </c>
      <c r="P12" s="12">
        <v>100.0</v>
      </c>
      <c r="Q12" s="12">
        <v>5.0</v>
      </c>
      <c r="R12" s="12">
        <v>37.0</v>
      </c>
      <c r="S12" s="12">
        <v>95.0</v>
      </c>
      <c r="T12" s="12">
        <v>100.0</v>
      </c>
      <c r="U12" s="12">
        <v>5.0</v>
      </c>
      <c r="V12" s="12">
        <v>82.0</v>
      </c>
      <c r="W12" s="14">
        <f t="shared" si="2"/>
        <v>76.6</v>
      </c>
    </row>
    <row r="13" ht="24.0" customHeight="1">
      <c r="A13" s="12" t="s">
        <v>60</v>
      </c>
      <c r="B13" s="12" t="s">
        <v>61</v>
      </c>
      <c r="C13" s="12" t="s">
        <v>62</v>
      </c>
      <c r="D13" s="13">
        <f>iferror(sumif(E13:V13,"&lt;&gt;")/sumif(E13:V13,"&lt;&gt;",E3:V3),"")</f>
        <v>0.74</v>
      </c>
      <c r="E13" s="12">
        <v>95.0</v>
      </c>
      <c r="F13" s="12">
        <v>100.0</v>
      </c>
      <c r="G13" s="12">
        <v>95.0</v>
      </c>
      <c r="H13" s="12">
        <v>95.0</v>
      </c>
      <c r="I13" s="12">
        <v>5.0</v>
      </c>
      <c r="J13" s="12">
        <v>95.0</v>
      </c>
      <c r="K13" s="12">
        <v>100.0</v>
      </c>
      <c r="L13" s="12">
        <v>10.0</v>
      </c>
      <c r="M13" s="12">
        <v>70.0</v>
      </c>
      <c r="N13" s="12">
        <v>90.0</v>
      </c>
      <c r="O13" s="12">
        <v>100.0</v>
      </c>
      <c r="P13" s="12">
        <v>90.0</v>
      </c>
      <c r="Q13" s="12">
        <v>5.0</v>
      </c>
      <c r="R13" s="12">
        <v>97.0</v>
      </c>
      <c r="S13" s="12">
        <v>95.0</v>
      </c>
      <c r="T13" s="12">
        <v>95.0</v>
      </c>
      <c r="U13" s="12">
        <v>5.0</v>
      </c>
      <c r="V13" s="12">
        <v>90.0</v>
      </c>
      <c r="W13" s="14">
        <f t="shared" si="2"/>
        <v>103.6</v>
      </c>
    </row>
    <row r="14" ht="24.0" customHeight="1">
      <c r="A14" s="12" t="s">
        <v>63</v>
      </c>
      <c r="B14" s="12" t="s">
        <v>64</v>
      </c>
      <c r="C14" s="12" t="s">
        <v>65</v>
      </c>
      <c r="D14" s="13" t="str">
        <f>iferror(sumif(E14:V14,"&lt;&gt;")/sumif(E14:V14,"&lt;&gt;",E3:V3),"")</f>
        <v/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4">
        <f t="shared" si="2"/>
        <v>0</v>
      </c>
    </row>
    <row r="15" ht="24.0" customHeight="1">
      <c r="A15" s="12" t="s">
        <v>66</v>
      </c>
      <c r="B15" s="12" t="s">
        <v>67</v>
      </c>
      <c r="C15" s="12" t="s">
        <v>68</v>
      </c>
      <c r="D15" s="13">
        <f>iferror(sumif(E15:V15,"&lt;&gt;")/sumif(E15:V15,"&lt;&gt;",E3:V3),"")</f>
        <v>0.8535714286</v>
      </c>
      <c r="E15" s="12">
        <v>90.0</v>
      </c>
      <c r="F15" s="12">
        <v>95.0</v>
      </c>
      <c r="G15" s="12">
        <v>90.0</v>
      </c>
      <c r="H15" s="12">
        <v>90.0</v>
      </c>
      <c r="I15" s="12"/>
      <c r="J15" s="12">
        <v>87.0</v>
      </c>
      <c r="K15" s="12">
        <v>100.0</v>
      </c>
      <c r="L15" s="12"/>
      <c r="M15" s="12">
        <v>69.0</v>
      </c>
      <c r="N15" s="12">
        <v>80.0</v>
      </c>
      <c r="O15" s="12">
        <v>90.0</v>
      </c>
      <c r="P15" s="12">
        <v>70.0</v>
      </c>
      <c r="Q15" s="12"/>
      <c r="R15" s="12">
        <v>72.0</v>
      </c>
      <c r="S15" s="12">
        <v>90.0</v>
      </c>
      <c r="T15" s="12">
        <v>98.0</v>
      </c>
      <c r="U15" s="12"/>
      <c r="V15" s="12">
        <v>74.0</v>
      </c>
      <c r="W15" s="14">
        <f t="shared" si="2"/>
        <v>75.52</v>
      </c>
    </row>
    <row r="16" ht="24.0" customHeight="1">
      <c r="A16" s="12" t="s">
        <v>1</v>
      </c>
      <c r="B16" s="12" t="s">
        <v>69</v>
      </c>
      <c r="C16" s="12" t="s">
        <v>70</v>
      </c>
      <c r="D16" s="13">
        <f>iferror(sumif(E16:V16,"&lt;&gt;")/sumif(E16:V16,"&lt;&gt;",E3:V3),"")</f>
        <v>0.425</v>
      </c>
      <c r="E16" s="12">
        <v>90.0</v>
      </c>
      <c r="F16" s="12">
        <v>0.0</v>
      </c>
      <c r="G16" s="12">
        <v>80.0</v>
      </c>
      <c r="H16" s="12"/>
      <c r="I16" s="12"/>
      <c r="J16" s="12">
        <v>0.0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4">
        <f t="shared" si="2"/>
        <v>0</v>
      </c>
    </row>
    <row r="17" ht="24.0" customHeight="1">
      <c r="A17" s="12" t="s">
        <v>71</v>
      </c>
      <c r="B17" s="12" t="s">
        <v>72</v>
      </c>
      <c r="C17" s="12" t="s">
        <v>73</v>
      </c>
      <c r="D17" s="13">
        <f>iferror(sumif(E17:V17,"&lt;&gt;")/sumif(E17:V17,"&lt;&gt;",E3:V3),"")</f>
        <v>0.74</v>
      </c>
      <c r="E17" s="12">
        <v>90.0</v>
      </c>
      <c r="F17" s="12">
        <v>90.0</v>
      </c>
      <c r="G17" s="12">
        <v>100.0</v>
      </c>
      <c r="H17" s="12">
        <v>100.0</v>
      </c>
      <c r="I17" s="12">
        <v>5.0</v>
      </c>
      <c r="J17" s="12">
        <v>95.0</v>
      </c>
      <c r="K17" s="12">
        <v>100.0</v>
      </c>
      <c r="L17" s="12">
        <v>5.0</v>
      </c>
      <c r="M17" s="12">
        <v>58.0</v>
      </c>
      <c r="N17" s="12">
        <v>90.0</v>
      </c>
      <c r="O17" s="12">
        <v>70.0</v>
      </c>
      <c r="P17" s="12">
        <v>80.0</v>
      </c>
      <c r="Q17" s="12"/>
      <c r="R17" s="12">
        <v>44.0</v>
      </c>
      <c r="S17" s="12">
        <v>95.0</v>
      </c>
      <c r="T17" s="12">
        <v>95.0</v>
      </c>
      <c r="U17" s="12"/>
      <c r="V17" s="12">
        <v>67.0</v>
      </c>
      <c r="W17" s="14">
        <f t="shared" si="2"/>
        <v>61.6</v>
      </c>
    </row>
    <row r="18" ht="24.0" customHeight="1">
      <c r="A18" s="12" t="s">
        <v>74</v>
      </c>
      <c r="B18" s="12" t="s">
        <v>75</v>
      </c>
      <c r="C18" s="12" t="s">
        <v>76</v>
      </c>
      <c r="D18" s="13" t="str">
        <f>iferror(sumif(E18:V18,"&lt;&gt;")/sumif(E18:V18,"&lt;&gt;",E3:V3),"")</f>
        <v/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4">
        <f t="shared" si="2"/>
        <v>0</v>
      </c>
    </row>
    <row r="19" ht="24.0" customHeight="1">
      <c r="A19" s="12" t="s">
        <v>77</v>
      </c>
      <c r="B19" s="12" t="s">
        <v>78</v>
      </c>
      <c r="C19" s="12" t="s">
        <v>79</v>
      </c>
      <c r="D19" s="13">
        <f>iferror(sumif(E19:V19,"&lt;&gt;")/sumif(E19:V19,"&lt;&gt;",E3:V3),"")</f>
        <v>0.6588888889</v>
      </c>
      <c r="E19" s="12">
        <v>80.0</v>
      </c>
      <c r="F19" s="12">
        <v>95.0</v>
      </c>
      <c r="G19" s="12">
        <v>90.0</v>
      </c>
      <c r="H19" s="12"/>
      <c r="I19" s="12"/>
      <c r="J19" s="12">
        <v>70.0</v>
      </c>
      <c r="K19" s="12">
        <v>80.0</v>
      </c>
      <c r="L19" s="12"/>
      <c r="M19" s="12">
        <v>40.0</v>
      </c>
      <c r="N19" s="12">
        <v>70.0</v>
      </c>
      <c r="O19" s="12"/>
      <c r="P19" s="12"/>
      <c r="Q19" s="12"/>
      <c r="R19" s="12">
        <v>35.0</v>
      </c>
      <c r="S19" s="12"/>
      <c r="T19" s="12"/>
      <c r="U19" s="12"/>
      <c r="V19" s="12">
        <v>33.0</v>
      </c>
      <c r="W19" s="14">
        <f t="shared" si="2"/>
        <v>30</v>
      </c>
    </row>
    <row r="20" ht="24.0" customHeight="1">
      <c r="A20" s="12" t="s">
        <v>80</v>
      </c>
      <c r="B20" s="12" t="s">
        <v>81</v>
      </c>
      <c r="C20" s="12" t="s">
        <v>82</v>
      </c>
      <c r="D20" s="13">
        <f>iferror(sumif(E20:V20,"&lt;&gt;")/sumif(E20:V20,"&lt;&gt;",E3:V3),"")</f>
        <v>0.6126666667</v>
      </c>
      <c r="E20" s="12">
        <v>80.0</v>
      </c>
      <c r="F20" s="12">
        <v>90.0</v>
      </c>
      <c r="G20" s="12">
        <v>90.0</v>
      </c>
      <c r="H20" s="12">
        <v>60.0</v>
      </c>
      <c r="I20" s="12">
        <v>5.0</v>
      </c>
      <c r="J20" s="12">
        <v>49.0</v>
      </c>
      <c r="K20" s="12">
        <v>90.0</v>
      </c>
      <c r="L20" s="12"/>
      <c r="M20" s="12">
        <v>53.0</v>
      </c>
      <c r="N20" s="12">
        <v>70.0</v>
      </c>
      <c r="O20" s="12"/>
      <c r="P20" s="12">
        <v>90.0</v>
      </c>
      <c r="Q20" s="12">
        <v>5.0</v>
      </c>
      <c r="R20" s="12">
        <v>27.0</v>
      </c>
      <c r="S20" s="12">
        <v>60.0</v>
      </c>
      <c r="T20" s="12">
        <v>95.0</v>
      </c>
      <c r="U20" s="12"/>
      <c r="V20" s="12">
        <v>55.0</v>
      </c>
      <c r="W20" s="14">
        <f t="shared" si="2"/>
        <v>50.4</v>
      </c>
    </row>
    <row r="21" ht="24.0" customHeight="1">
      <c r="A21" s="12" t="s">
        <v>83</v>
      </c>
      <c r="B21" s="12" t="s">
        <v>84</v>
      </c>
      <c r="C21" s="12" t="s">
        <v>85</v>
      </c>
      <c r="D21" s="13">
        <f>iferror(sumif(E21:V21,"&lt;&gt;")/sumif(E21:V21,"&lt;&gt;",E3:V3),"")</f>
        <v>0.7235294118</v>
      </c>
      <c r="E21" s="12">
        <v>100.0</v>
      </c>
      <c r="F21" s="12">
        <v>95.0</v>
      </c>
      <c r="G21" s="12">
        <v>100.0</v>
      </c>
      <c r="H21" s="12">
        <v>100.0</v>
      </c>
      <c r="I21" s="12">
        <v>5.0</v>
      </c>
      <c r="J21" s="12">
        <v>42.0</v>
      </c>
      <c r="K21" s="12">
        <v>100.0</v>
      </c>
      <c r="L21" s="12"/>
      <c r="M21" s="12">
        <v>70.0</v>
      </c>
      <c r="N21" s="12">
        <v>98.0</v>
      </c>
      <c r="O21" s="12">
        <v>80.0</v>
      </c>
      <c r="P21" s="12">
        <v>90.0</v>
      </c>
      <c r="Q21" s="12">
        <v>5.0</v>
      </c>
      <c r="R21" s="12">
        <v>60.0</v>
      </c>
      <c r="S21" s="12">
        <v>95.0</v>
      </c>
      <c r="T21" s="12">
        <v>100.0</v>
      </c>
      <c r="U21" s="12">
        <v>5.0</v>
      </c>
      <c r="V21" s="12">
        <v>85.0</v>
      </c>
      <c r="W21" s="14">
        <f t="shared" si="2"/>
        <v>86.52</v>
      </c>
    </row>
    <row r="22" ht="24.0" customHeight="1">
      <c r="A22" s="12" t="s">
        <v>86</v>
      </c>
      <c r="B22" s="12" t="s">
        <v>87</v>
      </c>
      <c r="C22" s="12" t="s">
        <v>88</v>
      </c>
      <c r="D22" s="13">
        <f>iferror(sumif(E22:V22,"&lt;&gt;")/sumif(E22:V22,"&lt;&gt;",E3:V3),"")</f>
        <v>0.6327777778</v>
      </c>
      <c r="E22" s="12">
        <v>90.0</v>
      </c>
      <c r="F22" s="12">
        <v>90.0</v>
      </c>
      <c r="G22" s="12">
        <v>70.0</v>
      </c>
      <c r="H22" s="12">
        <v>80.0</v>
      </c>
      <c r="I22" s="12">
        <v>5.0</v>
      </c>
      <c r="J22" s="12">
        <v>73.0</v>
      </c>
      <c r="K22" s="12">
        <v>70.0</v>
      </c>
      <c r="L22" s="12">
        <v>10.0</v>
      </c>
      <c r="M22" s="12">
        <v>60.0</v>
      </c>
      <c r="N22" s="12">
        <v>80.0</v>
      </c>
      <c r="O22" s="12">
        <v>100.0</v>
      </c>
      <c r="P22" s="12">
        <v>90.0</v>
      </c>
      <c r="Q22" s="12">
        <v>5.0</v>
      </c>
      <c r="R22" s="12">
        <v>52.0</v>
      </c>
      <c r="S22" s="12">
        <v>90.0</v>
      </c>
      <c r="T22" s="12">
        <v>95.0</v>
      </c>
      <c r="U22" s="12">
        <v>2.0</v>
      </c>
      <c r="V22" s="12">
        <v>77.0</v>
      </c>
      <c r="W22" s="14">
        <f t="shared" si="2"/>
        <v>76.8</v>
      </c>
    </row>
    <row r="23" ht="24.0" customHeight="1">
      <c r="A23" s="12" t="s">
        <v>89</v>
      </c>
      <c r="B23" s="12" t="s">
        <v>90</v>
      </c>
      <c r="C23" s="12" t="s">
        <v>91</v>
      </c>
      <c r="D23" s="13">
        <f>iferror(sumif(E23:V23,"&lt;&gt;")/sumif(E23:V23,"&lt;&gt;",E3:V3),"")</f>
        <v>0.4964285714</v>
      </c>
      <c r="E23" s="12">
        <v>85.0</v>
      </c>
      <c r="F23" s="12">
        <v>90.0</v>
      </c>
      <c r="G23" s="12">
        <v>100.0</v>
      </c>
      <c r="H23" s="12"/>
      <c r="I23" s="12">
        <v>2.5</v>
      </c>
      <c r="J23" s="12"/>
      <c r="K23" s="12">
        <v>70.0</v>
      </c>
      <c r="L23" s="12"/>
      <c r="M23" s="12">
        <v>0.0</v>
      </c>
      <c r="N23" s="12"/>
      <c r="O23" s="12"/>
      <c r="P23" s="12"/>
      <c r="Q23" s="12"/>
      <c r="R23" s="12">
        <v>0.0</v>
      </c>
      <c r="S23" s="12"/>
      <c r="T23" s="12"/>
      <c r="U23" s="12"/>
      <c r="V23" s="12"/>
      <c r="W23" s="14">
        <f t="shared" si="2"/>
        <v>0</v>
      </c>
    </row>
    <row r="24" ht="24.0" customHeight="1">
      <c r="A24" s="12" t="s">
        <v>92</v>
      </c>
      <c r="B24" s="12" t="s">
        <v>93</v>
      </c>
      <c r="C24" s="12" t="s">
        <v>94</v>
      </c>
      <c r="D24" s="13">
        <f>iferror(sumif(E24:V24,"&lt;&gt;")/sumif(E24:V24,"&lt;&gt;",E3:V3),"")</f>
        <v>0.638</v>
      </c>
      <c r="E24" s="12">
        <v>70.0</v>
      </c>
      <c r="F24" s="12">
        <v>70.0</v>
      </c>
      <c r="G24" s="12">
        <v>60.0</v>
      </c>
      <c r="H24" s="12">
        <v>70.0</v>
      </c>
      <c r="I24" s="12"/>
      <c r="J24" s="12">
        <v>70.0</v>
      </c>
      <c r="K24" s="12"/>
      <c r="L24" s="12">
        <v>5.0</v>
      </c>
      <c r="M24" s="12">
        <v>55.0</v>
      </c>
      <c r="N24" s="12">
        <v>80.0</v>
      </c>
      <c r="O24" s="12">
        <v>80.0</v>
      </c>
      <c r="P24" s="12">
        <v>100.0</v>
      </c>
      <c r="Q24" s="12"/>
      <c r="R24" s="12">
        <v>62.0</v>
      </c>
      <c r="S24" s="12">
        <v>70.0</v>
      </c>
      <c r="T24" s="12">
        <v>80.0</v>
      </c>
      <c r="U24" s="12">
        <v>5.0</v>
      </c>
      <c r="V24" s="12">
        <v>80.0</v>
      </c>
      <c r="W24" s="14">
        <f t="shared" si="2"/>
        <v>78.2</v>
      </c>
    </row>
    <row r="25" ht="24.0" customHeight="1">
      <c r="A25" s="12" t="s">
        <v>95</v>
      </c>
      <c r="B25" s="12" t="s">
        <v>96</v>
      </c>
      <c r="C25" s="12" t="s">
        <v>97</v>
      </c>
      <c r="D25" s="13">
        <f>iferror(sumif(E25:V25,"&lt;&gt;")/sumif(E25:V25,"&lt;&gt;",E3:V3),"")</f>
        <v>0.255</v>
      </c>
      <c r="E25" s="12"/>
      <c r="F25" s="12"/>
      <c r="G25" s="12"/>
      <c r="H25" s="12"/>
      <c r="I25" s="12"/>
      <c r="J25" s="12">
        <v>41.0</v>
      </c>
      <c r="K25" s="12"/>
      <c r="L25" s="12"/>
      <c r="M25" s="12"/>
      <c r="N25" s="12"/>
      <c r="O25" s="12"/>
      <c r="P25" s="12"/>
      <c r="Q25" s="12"/>
      <c r="R25" s="12">
        <v>10.0</v>
      </c>
      <c r="S25" s="12"/>
      <c r="T25" s="12"/>
      <c r="U25" s="12"/>
      <c r="V25" s="12"/>
      <c r="W25" s="14">
        <f t="shared" si="2"/>
        <v>4</v>
      </c>
    </row>
    <row r="26" ht="24.0" customHeight="1">
      <c r="A26" s="12" t="s">
        <v>98</v>
      </c>
      <c r="B26" s="12" t="s">
        <v>99</v>
      </c>
      <c r="C26" s="12" t="s">
        <v>100</v>
      </c>
      <c r="D26" s="13">
        <f>iferror(sumif(E26:V26,"&lt;&gt;")/sumif(E26:V26,"&lt;&gt;",E3:V3),"")</f>
        <v>0.57</v>
      </c>
      <c r="E26" s="12">
        <v>70.0</v>
      </c>
      <c r="F26" s="12">
        <v>60.0</v>
      </c>
      <c r="G26" s="12">
        <v>70.0</v>
      </c>
      <c r="H26" s="12">
        <v>60.0</v>
      </c>
      <c r="I26" s="12"/>
      <c r="J26" s="12">
        <v>42.0</v>
      </c>
      <c r="K26" s="12">
        <v>70.0</v>
      </c>
      <c r="L26" s="12"/>
      <c r="M26" s="12">
        <v>40.0</v>
      </c>
      <c r="N26" s="12">
        <v>70.0</v>
      </c>
      <c r="O26" s="12">
        <v>60.0</v>
      </c>
      <c r="P26" s="12">
        <v>80.0</v>
      </c>
      <c r="Q26" s="12"/>
      <c r="R26" s="12">
        <v>37.0</v>
      </c>
      <c r="S26" s="12"/>
      <c r="T26" s="12"/>
      <c r="U26" s="12"/>
      <c r="V26" s="12">
        <v>25.0</v>
      </c>
      <c r="W26" s="14">
        <f t="shared" si="2"/>
        <v>33.2</v>
      </c>
    </row>
    <row r="27" ht="24.0" customHeight="1">
      <c r="A27" s="12" t="s">
        <v>101</v>
      </c>
      <c r="B27" s="12" t="s">
        <v>102</v>
      </c>
      <c r="C27" s="12" t="s">
        <v>103</v>
      </c>
      <c r="D27" s="13">
        <f>iferror(sumif(E27:V27,"&lt;&gt;")/sumif(E27:V27,"&lt;&gt;",E3:V3),"")</f>
        <v>0.7385714286</v>
      </c>
      <c r="E27" s="12">
        <v>85.0</v>
      </c>
      <c r="F27" s="12">
        <v>95.0</v>
      </c>
      <c r="G27" s="12">
        <v>60.0</v>
      </c>
      <c r="H27" s="12">
        <v>70.0</v>
      </c>
      <c r="I27" s="12"/>
      <c r="J27" s="12">
        <v>42.0</v>
      </c>
      <c r="K27" s="12">
        <v>70.0</v>
      </c>
      <c r="L27" s="12"/>
      <c r="M27" s="12">
        <v>55.0</v>
      </c>
      <c r="N27" s="12">
        <v>95.0</v>
      </c>
      <c r="O27" s="12">
        <v>60.0</v>
      </c>
      <c r="P27" s="12">
        <v>100.0</v>
      </c>
      <c r="Q27" s="12"/>
      <c r="R27" s="12">
        <v>57.0</v>
      </c>
      <c r="S27" s="12">
        <v>90.0</v>
      </c>
      <c r="T27" s="12">
        <v>95.0</v>
      </c>
      <c r="U27" s="12"/>
      <c r="V27" s="12">
        <v>60.0</v>
      </c>
      <c r="W27" s="14">
        <f t="shared" si="2"/>
        <v>64.4</v>
      </c>
    </row>
    <row r="28" ht="24.0" customHeight="1">
      <c r="A28" s="12" t="s">
        <v>51</v>
      </c>
      <c r="B28" s="12" t="s">
        <v>104</v>
      </c>
      <c r="C28" s="12" t="s">
        <v>105</v>
      </c>
      <c r="D28" s="13" t="str">
        <f>iferror(sumif(E28:V28,"&lt;&gt;")/sumif(E28:V28,"&lt;&gt;",E3:V3),"")</f>
        <v/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4">
        <f t="shared" si="2"/>
        <v>0</v>
      </c>
    </row>
    <row r="29" ht="24.0" customHeight="1">
      <c r="A29" s="12" t="s">
        <v>106</v>
      </c>
      <c r="B29" s="12" t="s">
        <v>107</v>
      </c>
      <c r="C29" s="12" t="s">
        <v>108</v>
      </c>
      <c r="D29" s="13">
        <f>iferror(sumif(E29:V29,"&lt;&gt;")/sumif(E29:V29,"&lt;&gt;",E3:V3),"")</f>
        <v>0.645</v>
      </c>
      <c r="E29" s="12"/>
      <c r="F29" s="12">
        <v>85.0</v>
      </c>
      <c r="G29" s="12">
        <v>70.0</v>
      </c>
      <c r="H29" s="12">
        <v>60.0</v>
      </c>
      <c r="I29" s="12"/>
      <c r="J29" s="12">
        <v>65.0</v>
      </c>
      <c r="K29" s="12">
        <v>100.0</v>
      </c>
      <c r="L29" s="12"/>
      <c r="M29" s="12">
        <v>55.0</v>
      </c>
      <c r="N29" s="12"/>
      <c r="O29" s="12">
        <v>50.0</v>
      </c>
      <c r="P29" s="12"/>
      <c r="Q29" s="12"/>
      <c r="R29" s="12">
        <v>65.0</v>
      </c>
      <c r="S29" s="12">
        <v>60.0</v>
      </c>
      <c r="T29" s="12"/>
      <c r="U29" s="12"/>
      <c r="V29" s="12">
        <v>35.0</v>
      </c>
      <c r="W29" s="14">
        <f t="shared" si="2"/>
        <v>44.4</v>
      </c>
    </row>
    <row r="30" ht="24.0" customHeight="1">
      <c r="A30" s="12" t="s">
        <v>109</v>
      </c>
      <c r="B30" s="12" t="s">
        <v>110</v>
      </c>
      <c r="C30" s="12" t="s">
        <v>111</v>
      </c>
      <c r="D30" s="13">
        <f>iferror(sumif(E30:V30,"&lt;&gt;")/sumif(E30:V30,"&lt;&gt;",E3:V3),"")</f>
        <v>0.6344444444</v>
      </c>
      <c r="E30" s="12">
        <v>90.0</v>
      </c>
      <c r="F30" s="12">
        <v>80.0</v>
      </c>
      <c r="G30" s="12">
        <v>90.0</v>
      </c>
      <c r="H30" s="12">
        <v>80.0</v>
      </c>
      <c r="I30" s="12">
        <v>5.0</v>
      </c>
      <c r="J30" s="12">
        <v>72.0</v>
      </c>
      <c r="K30" s="12"/>
      <c r="L30" s="12"/>
      <c r="M30" s="12">
        <v>60.0</v>
      </c>
      <c r="N30" s="12">
        <v>30.0</v>
      </c>
      <c r="O30" s="12">
        <v>64.0</v>
      </c>
      <c r="P30" s="12"/>
      <c r="Q30" s="12"/>
      <c r="R30" s="12"/>
      <c r="S30" s="12"/>
      <c r="T30" s="12"/>
      <c r="U30" s="12"/>
      <c r="V30" s="12"/>
      <c r="W30" s="14">
        <f t="shared" si="2"/>
        <v>3.76</v>
      </c>
    </row>
    <row r="31" ht="24.0" customHeight="1">
      <c r="A31" s="12" t="s">
        <v>1</v>
      </c>
      <c r="B31" s="12" t="s">
        <v>112</v>
      </c>
      <c r="C31" s="12" t="s">
        <v>113</v>
      </c>
      <c r="D31" s="13">
        <f>iferror(sumif(E31:V31,"&lt;&gt;")/sumif(E31:V31,"&lt;&gt;",E3:V3),"")</f>
        <v>0.64</v>
      </c>
      <c r="E31" s="12">
        <v>85.0</v>
      </c>
      <c r="F31" s="12">
        <v>90.0</v>
      </c>
      <c r="G31" s="12"/>
      <c r="H31" s="12">
        <v>100.0</v>
      </c>
      <c r="I31" s="12"/>
      <c r="J31" s="12">
        <v>26.0</v>
      </c>
      <c r="K31" s="12"/>
      <c r="L31" s="12">
        <v>10.0</v>
      </c>
      <c r="M31" s="12">
        <v>70.0</v>
      </c>
      <c r="N31" s="12">
        <v>100.0</v>
      </c>
      <c r="O31" s="12">
        <v>70.0</v>
      </c>
      <c r="P31" s="12">
        <v>100.0</v>
      </c>
      <c r="Q31" s="12">
        <v>5.0</v>
      </c>
      <c r="R31" s="12">
        <v>55.0</v>
      </c>
      <c r="S31" s="12">
        <v>95.0</v>
      </c>
      <c r="T31" s="12">
        <v>98.0</v>
      </c>
      <c r="U31" s="12">
        <v>5.0</v>
      </c>
      <c r="V31" s="12">
        <v>51.0</v>
      </c>
      <c r="W31" s="14">
        <f t="shared" si="2"/>
        <v>70.92</v>
      </c>
    </row>
    <row r="32" ht="24.0" customHeight="1">
      <c r="A32" s="12" t="s">
        <v>114</v>
      </c>
      <c r="B32" s="12" t="s">
        <v>115</v>
      </c>
      <c r="C32" s="12" t="s">
        <v>116</v>
      </c>
      <c r="D32" s="13">
        <f>iferror(sumif(E32:V32,"&lt;&gt;")/sumif(E32:V32,"&lt;&gt;",E3:V3),"")</f>
        <v>0.640625</v>
      </c>
      <c r="E32" s="12">
        <v>70.0</v>
      </c>
      <c r="F32" s="12">
        <v>80.0</v>
      </c>
      <c r="G32" s="12">
        <v>100.0</v>
      </c>
      <c r="H32" s="12">
        <v>95.0</v>
      </c>
      <c r="I32" s="12"/>
      <c r="J32" s="12">
        <v>65.0</v>
      </c>
      <c r="K32" s="12">
        <v>90.0</v>
      </c>
      <c r="L32" s="12">
        <v>5.0</v>
      </c>
      <c r="M32" s="12">
        <v>60.0</v>
      </c>
      <c r="N32" s="12">
        <v>30.0</v>
      </c>
      <c r="O32" s="12">
        <v>60.0</v>
      </c>
      <c r="P32" s="12">
        <v>85.0</v>
      </c>
      <c r="Q32" s="12"/>
      <c r="R32" s="12">
        <v>55.0</v>
      </c>
      <c r="S32" s="12">
        <v>70.0</v>
      </c>
      <c r="T32" s="12">
        <v>90.0</v>
      </c>
      <c r="U32" s="12">
        <v>5.0</v>
      </c>
      <c r="V32" s="12">
        <v>65.0</v>
      </c>
      <c r="W32" s="14">
        <f t="shared" si="2"/>
        <v>66.4</v>
      </c>
    </row>
    <row r="33" ht="24.0" customHeight="1">
      <c r="A33" s="12" t="s">
        <v>117</v>
      </c>
      <c r="B33" s="12" t="s">
        <v>118</v>
      </c>
      <c r="C33" s="12" t="s">
        <v>119</v>
      </c>
      <c r="D33" s="13" t="str">
        <f>iferror(sumif(E33:V33,"&lt;&gt;")/sumif(E33:V33,"&lt;&gt;",E3:V3),"")</f>
        <v/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4">
        <f t="shared" si="2"/>
        <v>0</v>
      </c>
    </row>
    <row r="34" ht="24.0" customHeight="1">
      <c r="A34" s="12" t="s">
        <v>120</v>
      </c>
      <c r="B34" s="12" t="s">
        <v>121</v>
      </c>
      <c r="C34" s="12" t="s">
        <v>122</v>
      </c>
      <c r="D34" s="13">
        <f>iferror(sumif(E34:V34,"&lt;&gt;")/sumif(E34:V34,"&lt;&gt;",E3:V3),"")</f>
        <v>0.3666666667</v>
      </c>
      <c r="E34" s="12">
        <v>50.0</v>
      </c>
      <c r="F34" s="12">
        <v>60.0</v>
      </c>
      <c r="G34" s="12"/>
      <c r="H34" s="12"/>
      <c r="I34" s="12"/>
      <c r="J34" s="12">
        <v>0.0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>
        <f t="shared" si="2"/>
        <v>0</v>
      </c>
    </row>
    <row r="35" ht="24.0" customHeight="1">
      <c r="A35" s="12" t="s">
        <v>123</v>
      </c>
      <c r="B35" s="12" t="s">
        <v>124</v>
      </c>
      <c r="C35" s="12" t="s">
        <v>125</v>
      </c>
      <c r="D35" s="13">
        <f>iferror(sumif(E35:V35,"&lt;&gt;")/sumif(E35:V35,"&lt;&gt;",E3:V3),"")</f>
        <v>0.3794444444</v>
      </c>
      <c r="E35" s="12">
        <v>90.0</v>
      </c>
      <c r="F35" s="12">
        <v>100.0</v>
      </c>
      <c r="G35" s="12">
        <v>80.0</v>
      </c>
      <c r="H35" s="12"/>
      <c r="I35" s="12">
        <v>2.5</v>
      </c>
      <c r="J35" s="12">
        <v>4.0</v>
      </c>
      <c r="K35" s="12"/>
      <c r="L35" s="12"/>
      <c r="M35" s="12">
        <v>25.0</v>
      </c>
      <c r="N35" s="12">
        <v>40.0</v>
      </c>
      <c r="O35" s="12"/>
      <c r="P35" s="12"/>
      <c r="Q35" s="12"/>
      <c r="R35" s="12">
        <v>0.0</v>
      </c>
      <c r="S35" s="12"/>
      <c r="T35" s="12"/>
      <c r="U35" s="12"/>
      <c r="V35" s="12">
        <v>0.0</v>
      </c>
      <c r="W35" s="14">
        <f t="shared" si="2"/>
        <v>1.6</v>
      </c>
    </row>
    <row r="36" ht="24.0" customHeight="1">
      <c r="A36" s="12" t="s">
        <v>126</v>
      </c>
      <c r="B36" s="12" t="s">
        <v>127</v>
      </c>
      <c r="C36" s="12" t="s">
        <v>128</v>
      </c>
      <c r="D36" s="13" t="str">
        <f>iferror(sumif(E36:V36,"&lt;&gt;")/sumif(E36:V36,"&lt;&gt;",E3:V3),"")</f>
        <v/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4">
        <f t="shared" si="2"/>
        <v>0</v>
      </c>
    </row>
    <row r="37" ht="24.0" customHeight="1">
      <c r="A37" s="12" t="s">
        <v>129</v>
      </c>
      <c r="B37" s="12" t="s">
        <v>130</v>
      </c>
      <c r="C37" s="12" t="s">
        <v>131</v>
      </c>
      <c r="D37" s="13">
        <f>iferror(sumif(E37:V37,"&lt;&gt;")/sumif(E37:V37,"&lt;&gt;",E3:V3),"")</f>
        <v>0.836</v>
      </c>
      <c r="E37" s="12">
        <v>90.0</v>
      </c>
      <c r="F37" s="12">
        <v>98.0</v>
      </c>
      <c r="G37" s="12">
        <v>100.0</v>
      </c>
      <c r="H37" s="12">
        <v>100.0</v>
      </c>
      <c r="I37" s="12">
        <v>5.0</v>
      </c>
      <c r="J37" s="12">
        <v>73.0</v>
      </c>
      <c r="K37" s="12">
        <v>98.0</v>
      </c>
      <c r="L37" s="12"/>
      <c r="M37" s="12">
        <v>73.0</v>
      </c>
      <c r="N37" s="12">
        <v>90.0</v>
      </c>
      <c r="O37" s="12">
        <v>100.0</v>
      </c>
      <c r="P37" s="12">
        <v>90.0</v>
      </c>
      <c r="Q37" s="12"/>
      <c r="R37" s="12">
        <v>77.0</v>
      </c>
      <c r="S37" s="12">
        <v>98.0</v>
      </c>
      <c r="T37" s="12">
        <v>95.0</v>
      </c>
      <c r="U37" s="12"/>
      <c r="V37" s="12">
        <v>67.0</v>
      </c>
      <c r="W37" s="14">
        <f t="shared" si="2"/>
        <v>76.52</v>
      </c>
    </row>
    <row r="38" ht="24.0" customHeight="1">
      <c r="A38" s="12" t="s">
        <v>132</v>
      </c>
      <c r="B38" s="12" t="s">
        <v>133</v>
      </c>
      <c r="C38" s="12" t="s">
        <v>134</v>
      </c>
      <c r="D38" s="13" t="str">
        <f>iferror(sumif(E38:V38,"&lt;&gt;")/sumif(E38:V38,"&lt;&gt;",E3:V3),"")</f>
        <v/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4">
        <f t="shared" si="2"/>
        <v>0</v>
      </c>
    </row>
    <row r="39" ht="24.0" customHeight="1">
      <c r="A39" s="12" t="s">
        <v>135</v>
      </c>
      <c r="B39" s="12" t="s">
        <v>136</v>
      </c>
      <c r="C39" s="12" t="s">
        <v>137</v>
      </c>
      <c r="D39" s="13">
        <f>iferror(sumif(E39:V39,"&lt;&gt;")/sumif(E39:V39,"&lt;&gt;",E3:V3),"")</f>
        <v>0.6143333333</v>
      </c>
      <c r="E39" s="12">
        <v>70.0</v>
      </c>
      <c r="F39" s="12">
        <v>90.0</v>
      </c>
      <c r="G39" s="12">
        <v>100.0</v>
      </c>
      <c r="H39" s="12">
        <v>50.0</v>
      </c>
      <c r="I39" s="12">
        <v>2.5</v>
      </c>
      <c r="J39" s="12">
        <v>39.0</v>
      </c>
      <c r="K39" s="12">
        <v>60.0</v>
      </c>
      <c r="L39" s="12"/>
      <c r="M39" s="12">
        <v>50.0</v>
      </c>
      <c r="N39" s="12"/>
      <c r="O39" s="12">
        <v>60.0</v>
      </c>
      <c r="P39" s="12">
        <v>90.0</v>
      </c>
      <c r="Q39" s="12">
        <v>5.0</v>
      </c>
      <c r="R39" s="12">
        <v>65.0</v>
      </c>
      <c r="S39" s="12">
        <v>80.0</v>
      </c>
      <c r="T39" s="12">
        <v>80.0</v>
      </c>
      <c r="U39" s="12"/>
      <c r="V39" s="12">
        <v>80.0</v>
      </c>
      <c r="W39" s="14">
        <f t="shared" si="2"/>
        <v>75.4</v>
      </c>
    </row>
    <row r="40" ht="24.0" customHeight="1">
      <c r="A40" s="12" t="s">
        <v>138</v>
      </c>
      <c r="B40" s="12" t="s">
        <v>139</v>
      </c>
      <c r="C40" s="12" t="s">
        <v>140</v>
      </c>
      <c r="D40" s="13">
        <f>iferror(sumif(E40:V40,"&lt;&gt;")/sumif(E40:V40,"&lt;&gt;",E3:V3),"")</f>
        <v>0.5475</v>
      </c>
      <c r="E40" s="12">
        <v>70.0</v>
      </c>
      <c r="F40" s="12">
        <v>80.0</v>
      </c>
      <c r="G40" s="12">
        <v>50.0</v>
      </c>
      <c r="H40" s="12">
        <v>70.0</v>
      </c>
      <c r="I40" s="12"/>
      <c r="J40" s="12">
        <v>26.0</v>
      </c>
      <c r="K40" s="12"/>
      <c r="L40" s="12"/>
      <c r="M40" s="12">
        <v>52.0</v>
      </c>
      <c r="N40" s="12"/>
      <c r="O40" s="12"/>
      <c r="P40" s="12"/>
      <c r="Q40" s="12"/>
      <c r="R40" s="12">
        <v>40.0</v>
      </c>
      <c r="S40" s="12"/>
      <c r="T40" s="12"/>
      <c r="U40" s="12"/>
      <c r="V40" s="12">
        <v>50.0</v>
      </c>
      <c r="W40" s="14">
        <f t="shared" si="2"/>
        <v>36</v>
      </c>
    </row>
    <row r="41" ht="24.0" customHeight="1">
      <c r="A41" s="12" t="s">
        <v>141</v>
      </c>
      <c r="B41" s="12" t="s">
        <v>142</v>
      </c>
      <c r="C41" s="12" t="s">
        <v>143</v>
      </c>
      <c r="D41" s="13">
        <f>iferror(sumif(E41:V41,"&lt;&gt;")/sumif(E41:V41,"&lt;&gt;",E3:V3),"")</f>
        <v>0.64</v>
      </c>
      <c r="E41" s="12">
        <v>80.0</v>
      </c>
      <c r="F41" s="12">
        <v>70.0</v>
      </c>
      <c r="G41" s="12">
        <v>85.0</v>
      </c>
      <c r="H41" s="12">
        <v>70.0</v>
      </c>
      <c r="I41" s="12"/>
      <c r="J41" s="12">
        <v>49.0</v>
      </c>
      <c r="K41" s="12">
        <v>60.0</v>
      </c>
      <c r="L41" s="12"/>
      <c r="M41" s="12">
        <v>20.0</v>
      </c>
      <c r="N41" s="12">
        <v>90.0</v>
      </c>
      <c r="O41" s="12"/>
      <c r="P41" s="12">
        <v>100.0</v>
      </c>
      <c r="Q41" s="12">
        <v>5.0</v>
      </c>
      <c r="R41" s="12">
        <v>50.0</v>
      </c>
      <c r="S41" s="12">
        <v>70.0</v>
      </c>
      <c r="T41" s="12">
        <v>90.0</v>
      </c>
      <c r="U41" s="12"/>
      <c r="V41" s="12">
        <v>57.0</v>
      </c>
      <c r="W41" s="14">
        <f t="shared" si="2"/>
        <v>61.8</v>
      </c>
    </row>
    <row r="42" ht="24.0" customHeight="1">
      <c r="A42" s="12" t="s">
        <v>144</v>
      </c>
      <c r="B42" s="12" t="s">
        <v>145</v>
      </c>
      <c r="C42" s="12" t="s">
        <v>146</v>
      </c>
      <c r="D42" s="13" t="str">
        <f>iferror(sumif(E42:V42,"&lt;&gt;")/sumif(E42:V42,"&lt;&gt;",E3:V3),"")</f>
        <v/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4">
        <f t="shared" si="2"/>
        <v>0</v>
      </c>
    </row>
    <row r="43" ht="24.0" customHeight="1">
      <c r="A43" s="12" t="s">
        <v>147</v>
      </c>
      <c r="B43" s="12" t="s">
        <v>148</v>
      </c>
      <c r="C43" s="12" t="s">
        <v>149</v>
      </c>
      <c r="D43" s="13">
        <f>iferror(sumif(E43:V43,"&lt;&gt;")/sumif(E43:V43,"&lt;&gt;",E3:V3),"")</f>
        <v>0.8230769231</v>
      </c>
      <c r="E43" s="12">
        <v>100.0</v>
      </c>
      <c r="F43" s="12">
        <v>95.0</v>
      </c>
      <c r="G43" s="12">
        <v>90.0</v>
      </c>
      <c r="H43" s="12">
        <v>95.0</v>
      </c>
      <c r="I43" s="12"/>
      <c r="J43" s="12">
        <v>51.0</v>
      </c>
      <c r="K43" s="12"/>
      <c r="L43" s="12"/>
      <c r="M43" s="12">
        <v>60.0</v>
      </c>
      <c r="N43" s="12">
        <v>56.0</v>
      </c>
      <c r="O43" s="12">
        <v>100.0</v>
      </c>
      <c r="P43" s="12">
        <v>100.0</v>
      </c>
      <c r="Q43" s="12"/>
      <c r="R43" s="12">
        <v>79.0</v>
      </c>
      <c r="S43" s="12">
        <v>80.0</v>
      </c>
      <c r="T43" s="12">
        <v>90.0</v>
      </c>
      <c r="U43" s="12"/>
      <c r="V43" s="12">
        <v>74.0</v>
      </c>
      <c r="W43" s="14">
        <f t="shared" si="2"/>
        <v>78.24</v>
      </c>
    </row>
    <row r="44" ht="24.0" customHeight="1">
      <c r="A44" s="12" t="s">
        <v>150</v>
      </c>
      <c r="B44" s="12" t="s">
        <v>151</v>
      </c>
      <c r="C44" s="12" t="s">
        <v>152</v>
      </c>
      <c r="D44" s="13">
        <f>iferror(sumif(E44:V44,"&lt;&gt;")/sumif(E44:V44,"&lt;&gt;",E3:V3),"")</f>
        <v>0.6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>
        <v>60.0</v>
      </c>
      <c r="P44" s="12"/>
      <c r="Q44" s="12"/>
      <c r="R44" s="12"/>
      <c r="S44" s="12"/>
      <c r="T44" s="12"/>
      <c r="U44" s="12"/>
      <c r="V44" s="12"/>
      <c r="W44" s="14">
        <f t="shared" si="2"/>
        <v>2.4</v>
      </c>
    </row>
    <row r="45" ht="24.0" customHeight="1">
      <c r="A45" s="12" t="s">
        <v>153</v>
      </c>
      <c r="B45" s="12" t="s">
        <v>154</v>
      </c>
      <c r="C45" s="12" t="s">
        <v>155</v>
      </c>
      <c r="D45" s="13">
        <f>iferror(sumif(E45:V45,"&lt;&gt;")/sumif(E45:V45,"&lt;&gt;",E3:V3),"")</f>
        <v>0.5116666667</v>
      </c>
      <c r="E45" s="12">
        <v>100.0</v>
      </c>
      <c r="F45" s="12">
        <v>98.0</v>
      </c>
      <c r="G45" s="12">
        <v>90.0</v>
      </c>
      <c r="H45" s="12">
        <v>40.0</v>
      </c>
      <c r="I45" s="12"/>
      <c r="J45" s="12">
        <v>85.0</v>
      </c>
      <c r="K45" s="12"/>
      <c r="L45" s="12">
        <v>4.0</v>
      </c>
      <c r="M45" s="12">
        <v>72.0</v>
      </c>
      <c r="N45" s="12">
        <v>30.0</v>
      </c>
      <c r="O45" s="12">
        <v>30.0</v>
      </c>
      <c r="P45" s="12">
        <v>40.0</v>
      </c>
      <c r="Q45" s="12"/>
      <c r="R45" s="12">
        <v>20.0</v>
      </c>
      <c r="S45" s="12"/>
      <c r="T45" s="12"/>
      <c r="U45" s="12"/>
      <c r="V45" s="12">
        <v>5.0</v>
      </c>
      <c r="W45" s="14">
        <f t="shared" si="2"/>
        <v>14</v>
      </c>
    </row>
    <row r="46" ht="24.0" customHeight="1">
      <c r="A46" s="12" t="s">
        <v>156</v>
      </c>
      <c r="B46" s="12" t="s">
        <v>157</v>
      </c>
      <c r="C46" s="12" t="s">
        <v>158</v>
      </c>
      <c r="D46" s="13">
        <f>iferror(sumif(E46:V46,"&lt;&gt;")/sumif(E46:V46,"&lt;&gt;",E3:V3),"")</f>
        <v>0.4125</v>
      </c>
      <c r="E46" s="12">
        <v>95.0</v>
      </c>
      <c r="F46" s="12">
        <v>60.0</v>
      </c>
      <c r="G46" s="12"/>
      <c r="H46" s="12"/>
      <c r="I46" s="12"/>
      <c r="J46" s="12">
        <v>10.0</v>
      </c>
      <c r="K46" s="12"/>
      <c r="L46" s="12"/>
      <c r="M46" s="12">
        <v>0.0</v>
      </c>
      <c r="N46" s="12"/>
      <c r="O46" s="12"/>
      <c r="P46" s="12"/>
      <c r="Q46" s="12"/>
      <c r="R46" s="12"/>
      <c r="S46" s="12"/>
      <c r="T46" s="12"/>
      <c r="U46" s="12"/>
      <c r="V46" s="12"/>
      <c r="W46" s="14">
        <f t="shared" si="2"/>
        <v>0</v>
      </c>
    </row>
    <row r="47" ht="24.0" customHeight="1">
      <c r="A47" s="12" t="s">
        <v>159</v>
      </c>
      <c r="B47" s="12" t="s">
        <v>160</v>
      </c>
      <c r="C47" s="12" t="s">
        <v>161</v>
      </c>
      <c r="D47" s="13">
        <f>iferror(sumif(E47:V47,"&lt;&gt;")/sumif(E47:V47,"&lt;&gt;",E3:V3),"")</f>
        <v>0.795</v>
      </c>
      <c r="E47" s="12">
        <v>64.0</v>
      </c>
      <c r="F47" s="12">
        <v>95.0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4">
        <f t="shared" si="2"/>
        <v>0</v>
      </c>
    </row>
    <row r="48" ht="24.0" customHeight="1">
      <c r="A48" s="12" t="s">
        <v>162</v>
      </c>
      <c r="B48" s="12" t="s">
        <v>163</v>
      </c>
      <c r="C48" s="12" t="s">
        <v>164</v>
      </c>
      <c r="D48" s="13">
        <f>iferror(sumif(E48:V48,"&lt;&gt;")/sumif(E48:V48,"&lt;&gt;",E3:V3),"")</f>
        <v>0.6642857143</v>
      </c>
      <c r="E48" s="12">
        <v>85.0</v>
      </c>
      <c r="F48" s="12">
        <v>50.0</v>
      </c>
      <c r="G48" s="12">
        <v>90.0</v>
      </c>
      <c r="H48" s="12">
        <v>80.0</v>
      </c>
      <c r="I48" s="12"/>
      <c r="J48" s="12">
        <v>47.0</v>
      </c>
      <c r="K48" s="12">
        <v>100.0</v>
      </c>
      <c r="L48" s="12"/>
      <c r="M48" s="12">
        <v>40.0</v>
      </c>
      <c r="N48" s="12">
        <v>40.0</v>
      </c>
      <c r="O48" s="12">
        <v>70.0</v>
      </c>
      <c r="P48" s="12">
        <v>90.0</v>
      </c>
      <c r="Q48" s="12"/>
      <c r="R48" s="12">
        <v>40.0</v>
      </c>
      <c r="S48" s="12">
        <v>90.0</v>
      </c>
      <c r="T48" s="12">
        <v>70.0</v>
      </c>
      <c r="U48" s="12"/>
      <c r="V48" s="12">
        <v>38.0</v>
      </c>
      <c r="W48" s="14">
        <f t="shared" si="2"/>
        <v>45.6</v>
      </c>
    </row>
    <row r="49" ht="24.0" customHeight="1">
      <c r="A49" s="12" t="s">
        <v>165</v>
      </c>
      <c r="B49" s="12" t="s">
        <v>166</v>
      </c>
      <c r="C49" s="12" t="s">
        <v>167</v>
      </c>
      <c r="D49" s="13">
        <f>iferror(sumif(E49:V49,"&lt;&gt;")/sumif(E49:V49,"&lt;&gt;",E3:V3),"")</f>
        <v>0.7217647059</v>
      </c>
      <c r="E49" s="12">
        <v>90.0</v>
      </c>
      <c r="F49" s="12">
        <v>100.0</v>
      </c>
      <c r="G49" s="12">
        <v>80.0</v>
      </c>
      <c r="H49" s="12">
        <v>95.0</v>
      </c>
      <c r="I49" s="12">
        <v>5.0</v>
      </c>
      <c r="J49" s="12">
        <v>82.0</v>
      </c>
      <c r="K49" s="12">
        <v>70.0</v>
      </c>
      <c r="L49" s="12">
        <v>5.0</v>
      </c>
      <c r="M49" s="12">
        <v>80.0</v>
      </c>
      <c r="N49" s="12">
        <v>90.0</v>
      </c>
      <c r="O49" s="12">
        <v>100.0</v>
      </c>
      <c r="P49" s="12">
        <v>90.0</v>
      </c>
      <c r="Q49" s="12">
        <v>5.0</v>
      </c>
      <c r="R49" s="12">
        <v>70.0</v>
      </c>
      <c r="S49" s="12">
        <v>95.0</v>
      </c>
      <c r="T49" s="12">
        <v>95.0</v>
      </c>
      <c r="U49" s="12"/>
      <c r="V49" s="12">
        <v>75.0</v>
      </c>
      <c r="W49" s="14">
        <f t="shared" si="2"/>
        <v>81.8</v>
      </c>
    </row>
    <row r="50" ht="24.0" customHeight="1">
      <c r="A50" s="12" t="s">
        <v>168</v>
      </c>
      <c r="B50" s="12" t="s">
        <v>169</v>
      </c>
      <c r="C50" s="12" t="s">
        <v>170</v>
      </c>
      <c r="D50" s="13">
        <f>iferror(sumif(E50:V50,"&lt;&gt;")/sumif(E50:V50,"&lt;&gt;",E3:V3),"")</f>
        <v>0.15</v>
      </c>
      <c r="E50" s="12"/>
      <c r="F50" s="12"/>
      <c r="G50" s="12"/>
      <c r="H50" s="12"/>
      <c r="I50" s="12"/>
      <c r="J50" s="12">
        <v>40.0</v>
      </c>
      <c r="K50" s="12"/>
      <c r="L50" s="12"/>
      <c r="M50" s="12"/>
      <c r="N50" s="12"/>
      <c r="O50" s="12"/>
      <c r="P50" s="12"/>
      <c r="Q50" s="12"/>
      <c r="R50" s="12">
        <v>5.0</v>
      </c>
      <c r="S50" s="12"/>
      <c r="T50" s="12"/>
      <c r="U50" s="12"/>
      <c r="V50" s="12">
        <v>0.0</v>
      </c>
      <c r="W50" s="14">
        <f t="shared" si="2"/>
        <v>2</v>
      </c>
    </row>
    <row r="51" ht="24.0" customHeight="1">
      <c r="A51" s="12" t="s">
        <v>171</v>
      </c>
      <c r="B51" s="12" t="s">
        <v>172</v>
      </c>
      <c r="C51" s="12" t="s">
        <v>173</v>
      </c>
      <c r="D51" s="13">
        <f>iferror(sumif(E51:V51,"&lt;&gt;")/sumif(E51:V51,"&lt;&gt;",E3:V3),"")</f>
        <v>0.11</v>
      </c>
      <c r="E51" s="12"/>
      <c r="F51" s="12"/>
      <c r="G51" s="12"/>
      <c r="H51" s="12"/>
      <c r="I51" s="12"/>
      <c r="J51" s="12">
        <v>11.0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4">
        <f t="shared" si="2"/>
        <v>0</v>
      </c>
    </row>
    <row r="52" ht="24.0" customHeight="1">
      <c r="A52" s="12" t="s">
        <v>174</v>
      </c>
      <c r="B52" s="12" t="s">
        <v>175</v>
      </c>
      <c r="C52" s="12" t="s">
        <v>176</v>
      </c>
      <c r="D52" s="13">
        <f>iferror(sumif(E52:V52,"&lt;&gt;")/sumif(E52:V52,"&lt;&gt;",E3:V3),"")</f>
        <v>0.642</v>
      </c>
      <c r="E52" s="12">
        <v>80.0</v>
      </c>
      <c r="F52" s="12">
        <v>95.0</v>
      </c>
      <c r="G52" s="12">
        <v>90.0</v>
      </c>
      <c r="H52" s="12">
        <v>100.0</v>
      </c>
      <c r="I52" s="12"/>
      <c r="J52" s="12">
        <v>27.0</v>
      </c>
      <c r="K52" s="12">
        <v>100.0</v>
      </c>
      <c r="L52" s="12"/>
      <c r="M52" s="12">
        <v>30.0</v>
      </c>
      <c r="N52" s="12"/>
      <c r="O52" s="12"/>
      <c r="P52" s="12">
        <v>70.0</v>
      </c>
      <c r="Q52" s="12"/>
      <c r="R52" s="12">
        <v>32.0</v>
      </c>
      <c r="S52" s="12"/>
      <c r="T52" s="12"/>
      <c r="U52" s="12"/>
      <c r="V52" s="12">
        <v>18.0</v>
      </c>
      <c r="W52" s="14">
        <f t="shared" si="2"/>
        <v>22.8</v>
      </c>
    </row>
    <row r="53" ht="24.0" customHeight="1">
      <c r="A53" s="12" t="s">
        <v>177</v>
      </c>
      <c r="B53" s="12" t="s">
        <v>178</v>
      </c>
      <c r="C53" s="12" t="s">
        <v>179</v>
      </c>
      <c r="D53" s="13">
        <f>iferror(sumif(E53:V53,"&lt;&gt;")/sumif(E53:V53,"&lt;&gt;",E3:V3),"")</f>
        <v>0.2844444444</v>
      </c>
      <c r="E53" s="12">
        <v>40.0</v>
      </c>
      <c r="F53" s="12">
        <v>40.0</v>
      </c>
      <c r="G53" s="12">
        <v>60.0</v>
      </c>
      <c r="H53" s="12">
        <v>50.0</v>
      </c>
      <c r="I53" s="12"/>
      <c r="J53" s="12">
        <v>6.0</v>
      </c>
      <c r="K53" s="12"/>
      <c r="L53" s="12"/>
      <c r="M53" s="12">
        <v>0.0</v>
      </c>
      <c r="N53" s="12">
        <v>50.0</v>
      </c>
      <c r="O53" s="12"/>
      <c r="P53" s="12"/>
      <c r="Q53" s="12"/>
      <c r="R53" s="12">
        <v>10.0</v>
      </c>
      <c r="S53" s="12"/>
      <c r="T53" s="12"/>
      <c r="U53" s="12"/>
      <c r="V53" s="12">
        <v>0.0</v>
      </c>
      <c r="W53" s="14">
        <f t="shared" si="2"/>
        <v>6</v>
      </c>
    </row>
    <row r="54" ht="24.0" customHeight="1">
      <c r="A54" s="12" t="s">
        <v>180</v>
      </c>
      <c r="B54" s="12" t="s">
        <v>181</v>
      </c>
      <c r="C54" s="12" t="s">
        <v>182</v>
      </c>
      <c r="D54" s="13">
        <f>iferror(sumif(E54:V54,"&lt;&gt;")/sumif(E54:V54,"&lt;&gt;",E3:V3),"")</f>
        <v>0.7126666667</v>
      </c>
      <c r="E54" s="12">
        <v>90.0</v>
      </c>
      <c r="F54" s="12">
        <v>95.0</v>
      </c>
      <c r="G54" s="12">
        <v>100.0</v>
      </c>
      <c r="H54" s="12">
        <v>90.0</v>
      </c>
      <c r="I54" s="12">
        <v>5.0</v>
      </c>
      <c r="J54" s="12">
        <v>9.0</v>
      </c>
      <c r="K54" s="12">
        <v>95.0</v>
      </c>
      <c r="L54" s="12"/>
      <c r="M54" s="12">
        <v>40.0</v>
      </c>
      <c r="N54" s="12">
        <v>90.0</v>
      </c>
      <c r="O54" s="12">
        <v>100.0</v>
      </c>
      <c r="P54" s="12">
        <v>90.0</v>
      </c>
      <c r="Q54" s="12"/>
      <c r="R54" s="12">
        <v>52.0</v>
      </c>
      <c r="S54" s="12">
        <v>70.0</v>
      </c>
      <c r="T54" s="12">
        <v>95.0</v>
      </c>
      <c r="U54" s="12"/>
      <c r="V54" s="12">
        <v>48.0</v>
      </c>
      <c r="W54" s="14">
        <f t="shared" si="2"/>
        <v>57.8</v>
      </c>
    </row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