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<sst xmlns="http://schemas.openxmlformats.org/spreadsheetml/2006/main" count="249" uniqueCount="209">
  <si>
    <t>Cálculo 1 2023-2</t>
  </si>
  <si>
    <t/>
  </si>
  <si>
    <t>08 de dez.</t>
  </si>
  <si>
    <t>15 de dez.</t>
  </si>
  <si>
    <t>26 de dez.</t>
  </si>
  <si>
    <t>26 de jan.</t>
  </si>
  <si>
    <t>03 de fev.</t>
  </si>
  <si>
    <t>07 de fev.</t>
  </si>
  <si>
    <t>16 de fev.</t>
  </si>
  <si>
    <t>23 de fev.</t>
  </si>
  <si>
    <t>24 de fev.</t>
  </si>
  <si>
    <t>02 de mar.</t>
  </si>
  <si>
    <t>08 de mar.</t>
  </si>
  <si>
    <t>15 de mar.</t>
  </si>
  <si>
    <t>22 de mar.</t>
  </si>
  <si>
    <t xml:space="preserve">assuntos vamos revisar. </t>
  </si>
  <si>
    <t>nota extra prova 1</t>
  </si>
  <si>
    <t>nota extra prova 2</t>
  </si>
  <si>
    <t>ponto extra-prova 4</t>
  </si>
  <si>
    <t>teste de verificação</t>
  </si>
  <si>
    <t>lista 1</t>
  </si>
  <si>
    <t>lista 2</t>
  </si>
  <si>
    <t>prova 1</t>
  </si>
  <si>
    <t>lista 3</t>
  </si>
  <si>
    <t>lista 4</t>
  </si>
  <si>
    <t>prova 2</t>
  </si>
  <si>
    <t>lista 5</t>
  </si>
  <si>
    <t>lista 6</t>
  </si>
  <si>
    <t>nota extra-prova 3</t>
  </si>
  <si>
    <t>prova 3</t>
  </si>
  <si>
    <t>lista 7</t>
  </si>
  <si>
    <t>lista 8</t>
  </si>
  <si>
    <t>prova 4</t>
  </si>
  <si>
    <t>Média da turma</t>
  </si>
  <si>
    <t>medio lista</t>
  </si>
  <si>
    <t>medio prova</t>
  </si>
  <si>
    <t>ab2</t>
  </si>
  <si>
    <t>FERREIRA DIAS DE SOUZA</t>
  </si>
  <si>
    <t xml:space="preserve"> LARISSA </t>
  </si>
  <si>
    <t>lfds@ic.ufal.br</t>
  </si>
  <si>
    <t>BRUNO MARTIRES SOARES</t>
  </si>
  <si>
    <t xml:space="preserve">ALISON </t>
  </si>
  <si>
    <t>abms@ic.ufal.br</t>
  </si>
  <si>
    <t>LOPES NOVAIS</t>
  </si>
  <si>
    <t xml:space="preserve">ANGELO </t>
  </si>
  <si>
    <t>alno@ic.ufal.br</t>
  </si>
  <si>
    <t>REGINA DA SILVA</t>
  </si>
  <si>
    <t xml:space="preserve">ARIANE </t>
  </si>
  <si>
    <t>arsi@ic.ufal.br</t>
  </si>
  <si>
    <t>GABRIEL DOS SANTOS MATIAS</t>
  </si>
  <si>
    <t xml:space="preserve">ARTHUR </t>
  </si>
  <si>
    <t>agsm@ic.ufal.br</t>
  </si>
  <si>
    <t xml:space="preserve">Melo Santana Duarte </t>
  </si>
  <si>
    <t xml:space="preserve">Abraão </t>
  </si>
  <si>
    <t>amsd@ic.ufal.br</t>
  </si>
  <si>
    <t>Lima Marques</t>
  </si>
  <si>
    <t xml:space="preserve">Athisson Alberto </t>
  </si>
  <si>
    <t>aalm@ic.ufal.br</t>
  </si>
  <si>
    <t>GABRIEL DA SILVA SABINO</t>
  </si>
  <si>
    <t xml:space="preserve">CHRISTIAN </t>
  </si>
  <si>
    <t>cgss@ic.ufal.br</t>
  </si>
  <si>
    <t>CELESTINO DOS SANTOS BARBOSA</t>
  </si>
  <si>
    <t xml:space="preserve">DAVI </t>
  </si>
  <si>
    <t>dcsb@ic.ufal.br</t>
  </si>
  <si>
    <t>NEVES DA SILVA</t>
  </si>
  <si>
    <t xml:space="preserve">DIEGO </t>
  </si>
  <si>
    <t>dins@ic.ufal.br</t>
  </si>
  <si>
    <t>Oliveira</t>
  </si>
  <si>
    <t>Daniel</t>
  </si>
  <si>
    <t>daniel060804@gmail.com</t>
  </si>
  <si>
    <t>Sloan</t>
  </si>
  <si>
    <t>Davyd</t>
  </si>
  <si>
    <t>dsss1@ifal.edu.br</t>
  </si>
  <si>
    <t>Matheus</t>
  </si>
  <si>
    <t>Diego</t>
  </si>
  <si>
    <t>jabuticabadoce8@gmail.com</t>
  </si>
  <si>
    <t>Bastos de Oliveira</t>
  </si>
  <si>
    <t xml:space="preserve">Diego Matheus </t>
  </si>
  <si>
    <t>dmbo@ic.ufal.br</t>
  </si>
  <si>
    <t>SANTOS SILVA</t>
  </si>
  <si>
    <t xml:space="preserve">ELIAS </t>
  </si>
  <si>
    <t>ess@ic.ufal.br</t>
  </si>
  <si>
    <t>Martins</t>
  </si>
  <si>
    <t>Edilberto</t>
  </si>
  <si>
    <t>ed.marrtinss@gmail.com</t>
  </si>
  <si>
    <t>Ambrozio</t>
  </si>
  <si>
    <t>Edivaldo</t>
  </si>
  <si>
    <t>zedi75psn@gmail.com</t>
  </si>
  <si>
    <t>Maciel Neumann</t>
  </si>
  <si>
    <t>Fabricio</t>
  </si>
  <si>
    <t>fabricomaciel9@gmail.com</t>
  </si>
  <si>
    <t>Costa Bocardi</t>
  </si>
  <si>
    <t xml:space="preserve">Fabrizio </t>
  </si>
  <si>
    <t>fcb@ic.ufal.br</t>
  </si>
  <si>
    <t>da Silva Mendonça</t>
  </si>
  <si>
    <t>Flávio Alberto</t>
  </si>
  <si>
    <t>fasm@ic.ufal.br</t>
  </si>
  <si>
    <t>SOUZA MARQUES</t>
  </si>
  <si>
    <t xml:space="preserve">GABRIEL </t>
  </si>
  <si>
    <t>gsm@ic.ufal.br</t>
  </si>
  <si>
    <t>Brandão Nascimento Júnior</t>
  </si>
  <si>
    <t>Givanildo</t>
  </si>
  <si>
    <t>gbnj@ic.ufal.br</t>
  </si>
  <si>
    <t>BARROS QUEIROZ NETO</t>
  </si>
  <si>
    <t xml:space="preserve">HUMBERTO </t>
  </si>
  <si>
    <t>hbqn@ic.ufal.br</t>
  </si>
  <si>
    <t>ESTEVES PEDROZA MELO</t>
  </si>
  <si>
    <t>JAYME VINICIUS</t>
  </si>
  <si>
    <t>jvepm@ic.ufal.br</t>
  </si>
  <si>
    <t>CRISTOVAO VIEIRA DOS SANTOS JUNIOR</t>
  </si>
  <si>
    <t xml:space="preserve">JOSE </t>
  </si>
  <si>
    <t>jcvsj@ic.ufal.br</t>
  </si>
  <si>
    <t>LEANDRO DE SOUZA SILVA</t>
  </si>
  <si>
    <t>jlss@ic.ufal.br</t>
  </si>
  <si>
    <t xml:space="preserve"> dos Santos Neto </t>
  </si>
  <si>
    <t>Jader Rogerio</t>
  </si>
  <si>
    <t>jrsn@ic.ufal.br</t>
  </si>
  <si>
    <t xml:space="preserve"> Duarte Tenorio </t>
  </si>
  <si>
    <t>Jean Felipe</t>
  </si>
  <si>
    <t>jfdt@ic.ufal.br</t>
  </si>
  <si>
    <t>Tenorio Venancio</t>
  </si>
  <si>
    <t xml:space="preserve">Joao Victor </t>
  </si>
  <si>
    <t>jvtv@ic.ufal.br</t>
  </si>
  <si>
    <t xml:space="preserve">Sampaio Silva Ivo </t>
  </si>
  <si>
    <t xml:space="preserve">Juliana </t>
  </si>
  <si>
    <t>jssi@ic.ufal.br</t>
  </si>
  <si>
    <t>FELIPE MELO DE OLIVEIRA</t>
  </si>
  <si>
    <t xml:space="preserve">KALLEB </t>
  </si>
  <si>
    <t>kfmo@ic.ufal.br</t>
  </si>
  <si>
    <t xml:space="preserve"> FILIPE SOUZA SANTOS</t>
  </si>
  <si>
    <t>LUIZ</t>
  </si>
  <si>
    <t>lfss@ic.ufal.br</t>
  </si>
  <si>
    <t xml:space="preserve"> Nunes Faria Costa </t>
  </si>
  <si>
    <t>Layza</t>
  </si>
  <si>
    <t>lnfc@ic.ufal.br</t>
  </si>
  <si>
    <t>Holanda de Paula</t>
  </si>
  <si>
    <t xml:space="preserve">Leonardo Lucca </t>
  </si>
  <si>
    <t>llhp@ic.ufal.br</t>
  </si>
  <si>
    <t>CLARA FERNANDES BARRETTO CORDEIRO</t>
  </si>
  <si>
    <t>MARIA</t>
  </si>
  <si>
    <t>mcfbc1@aluno.ifal.edu.br</t>
  </si>
  <si>
    <t>FERNANDES BARRETTO CORDEIRO</t>
  </si>
  <si>
    <t xml:space="preserve">MARIA CLARA </t>
  </si>
  <si>
    <t>mcfbc@ic.ufal.br</t>
  </si>
  <si>
    <t xml:space="preserve">de Amorim Júnior </t>
  </si>
  <si>
    <t xml:space="preserve">Marcelo Sodré </t>
  </si>
  <si>
    <t>msaj@ic.ufal.br</t>
  </si>
  <si>
    <t xml:space="preserve">da Silva Jacinto </t>
  </si>
  <si>
    <t xml:space="preserve">Mayara </t>
  </si>
  <si>
    <t>msj@ic.ufal.br</t>
  </si>
  <si>
    <t>de Almeida Souza</t>
  </si>
  <si>
    <t xml:space="preserve">Nícolas </t>
  </si>
  <si>
    <t>nas2@ic.ufal.br</t>
  </si>
  <si>
    <t>JOSHUA COSTA BRANDAO MENEZES</t>
  </si>
  <si>
    <t xml:space="preserve">OTAVIO </t>
  </si>
  <si>
    <t>ojcbm@ic.ufal.br</t>
  </si>
  <si>
    <t>GABRIEL MEDEIROS DE LIMA</t>
  </si>
  <si>
    <t xml:space="preserve">PEDRO </t>
  </si>
  <si>
    <t>pgml@ic.ufal.br</t>
  </si>
  <si>
    <t>HENRIQUE SILVA MARQUES RIBEIRO</t>
  </si>
  <si>
    <t>phsmr@ic.ufal.br</t>
  </si>
  <si>
    <t xml:space="preserve">Santos da Silva </t>
  </si>
  <si>
    <t xml:space="preserve">Pedro Henrique </t>
  </si>
  <si>
    <t>phss2@ic.ufal.br</t>
  </si>
  <si>
    <t>FELIPE FERNANDES MELO</t>
  </si>
  <si>
    <t xml:space="preserve">RUDSON </t>
  </si>
  <si>
    <t>rffm@ic.ufal.br</t>
  </si>
  <si>
    <t>da Silva Gaião</t>
  </si>
  <si>
    <t>Rian Antonio</t>
  </si>
  <si>
    <t>rasg@ic.ufal.br</t>
  </si>
  <si>
    <t>Alves de Albuquerque Filho</t>
  </si>
  <si>
    <t>Ricardo</t>
  </si>
  <si>
    <t>raaf@ic.ufal.br</t>
  </si>
  <si>
    <t>Santos</t>
  </si>
  <si>
    <t>Thiago</t>
  </si>
  <si>
    <t>ogaihtsant@gmail.com</t>
  </si>
  <si>
    <t>Marques Laurentino</t>
  </si>
  <si>
    <t xml:space="preserve">Thiago Fellype </t>
  </si>
  <si>
    <t>tfml@ic.ufal.br</t>
  </si>
  <si>
    <t>Nunes</t>
  </si>
  <si>
    <t>Thifanny</t>
  </si>
  <si>
    <t>thifannynunes2@gmail.com</t>
  </si>
  <si>
    <t>GOMES DA SILVA NETO</t>
  </si>
  <si>
    <t xml:space="preserve">VALTER </t>
  </si>
  <si>
    <t>vgsn@ic.ufal.br</t>
  </si>
  <si>
    <t>GABRIEL DOS SANTOS OLIVEIRA</t>
  </si>
  <si>
    <t xml:space="preserve">VITOR </t>
  </si>
  <si>
    <t>vgso@ic.ufal.br</t>
  </si>
  <si>
    <t xml:space="preserve"> Cabral da Silva </t>
  </si>
  <si>
    <t>Victoria Júllya</t>
  </si>
  <si>
    <t>vjcs@ic.ufal.br</t>
  </si>
  <si>
    <t xml:space="preserve">Santana Bigi </t>
  </si>
  <si>
    <t xml:space="preserve">Vitória Maria </t>
  </si>
  <si>
    <t>vmsb@ic.ufal.br</t>
  </si>
  <si>
    <t>MACIEL MELO LIMA</t>
  </si>
  <si>
    <t xml:space="preserve">WALLYSSON </t>
  </si>
  <si>
    <t>wmml@ic.ufal.br</t>
  </si>
  <si>
    <t xml:space="preserve">Nascimento Oliveira </t>
  </si>
  <si>
    <t xml:space="preserve">Yasmin Antonela </t>
  </si>
  <si>
    <t>yano@ic.ufal.br</t>
  </si>
  <si>
    <t xml:space="preserve"> Souza Sales</t>
  </si>
  <si>
    <t>Ycaro Bruno</t>
  </si>
  <si>
    <t>ybss@ic.ufal.br</t>
  </si>
  <si>
    <t>NATY DOS SANTOS</t>
  </si>
  <si>
    <t xml:space="preserve">ZILDERLAN </t>
  </si>
  <si>
    <t>zns@ic.ufal.br</t>
  </si>
  <si>
    <t>juan</t>
  </si>
  <si>
    <t>emmanuel</t>
  </si>
  <si>
    <t>emmanueljuan333@gmail.com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</si>
</sst>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#%"/>
    <numFmt numFmtId="165" formatCode="0.0#"/>
  </numFmts>
  <fonts count="11">
    <font>
      <sz val="11.0"/>
      <color rgb="FF000000"/>
      <name val="Calibri"/>
      <scheme val="minor"/>
    </font>
    <font>
      <b/>
      <sz val="14.0"/>
      <color rgb="FFFFFFFF"/>
      <name val="Roboto"/>
    </font>
    <font>
      <sz val="10.0"/>
      <color rgb="FFFFFFFF"/>
      <name val="Roboto"/>
    </font>
    <font>
      <sz val="14.0"/>
      <color rgb="FFFFFFFF"/>
      <name val="Roboto"/>
    </font>
    <font>
      <b/>
      <sz val="10.0"/>
      <color rgb="FFFFFFFF"/>
      <name val="Roboto"/>
    </font>
    <font>
      <u/>
      <sz val="10.0"/>
      <color rgb="FFFFFFFF"/>
      <name val="Arial"/>
    </font>
    <font>
      <sz val="10.0"/>
      <color rgb="FFFFFFFF"/>
      <name val="Arial"/>
    </font>
    <font>
      <b/>
      <sz val="10.0"/>
      <color theme="1"/>
      <name val="Roboto"/>
    </font>
    <font>
      <sz val="10.0"/>
      <color rgb="FF808080"/>
      <name val="Roboto"/>
    </font>
    <font>
      <sz val="10.0"/>
      <color theme="1"/>
      <name val="Roboto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</fills>
  <borders count="3">
    <border/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2" fillId="4" fontId="7" numFmtId="0" xfId="0" applyAlignment="1" applyBorder="1" applyFill="1" applyFont="1">
      <alignment horizontal="left" vertical="center"/>
    </xf>
    <xf borderId="2" fillId="4" fontId="8" numFmtId="164" xfId="0" applyAlignment="1" applyBorder="1" applyFont="1" applyNumberFormat="1">
      <alignment horizontal="left" vertical="center"/>
    </xf>
    <xf borderId="2" fillId="4" fontId="9" numFmtId="165" xfId="0" applyAlignment="1" applyBorder="1" applyFont="1" applyNumberFormat="1">
      <alignment horizontal="left" vertical="center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3" width="16.0"/>
    <col customWidth="1" min="4" max="4" width="8.0"/>
    <col customWidth="1" min="5" max="22" width="16.0"/>
    <col customWidth="1" min="23" max="26" width="8.71"/>
  </cols>
  <sheetData>
    <row r="1" ht="24.0" customHeight="1">
      <c r="A1" s="1" t="s">
        <v>0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ht="24.0" customHeight="1">
      <c r="A2" s="3" t="s">
        <v>1</v>
      </c>
      <c r="B2" s="3" t="s">
        <v>1</v>
      </c>
      <c r="C2" s="3" t="s">
        <v>1</v>
      </c>
      <c r="D2" s="3" t="s">
        <v>1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  <c r="O2" s="4" t="s">
        <v>25</v>
      </c>
      <c r="P2" s="4" t="s">
        <v>26</v>
      </c>
      <c r="Q2" s="4" t="s">
        <v>27</v>
      </c>
      <c r="R2" s="4" t="s">
        <v>28</v>
      </c>
      <c r="S2" s="4" t="s">
        <v>29</v>
      </c>
      <c r="T2" s="4" t="s">
        <v>30</v>
      </c>
      <c r="U2" s="4" t="s">
        <v>31</v>
      </c>
      <c r="V2" s="4" t="s">
        <v>32</v>
      </c>
    </row>
    <row r="3" ht="24.0" customHeight="1">
      <c r="A3" s="5" t="str">
        <f>hyperlink("https://classroom.google.com/c/NjM5OTU0OTM4MTgz", upper("Abrir sala de aula"))</f>
        <v>ABRIR SALA DE AULA</v>
      </c>
      <c r="B3" s="6" t="s">
        <v>1</v>
      </c>
      <c r="C3" s="6" t="s">
        <v>1</v>
      </c>
      <c r="D3" s="6" t="s">
        <v>1</v>
      </c>
      <c r="E3" s="2">
        <v>100.0</v>
      </c>
      <c r="F3" s="2">
        <v>100.0</v>
      </c>
      <c r="G3" s="2">
        <v>100.0</v>
      </c>
      <c r="H3" s="2">
        <v>100.0</v>
      </c>
      <c r="I3" s="2">
        <v>100.0</v>
      </c>
      <c r="J3" s="2">
        <v>100.0</v>
      </c>
      <c r="K3" s="2">
        <v>100.0</v>
      </c>
      <c r="L3" s="2">
        <v>100.0</v>
      </c>
      <c r="M3" s="2">
        <v>100.0</v>
      </c>
      <c r="N3" s="2">
        <v>100.0</v>
      </c>
      <c r="O3" s="2">
        <v>100.0</v>
      </c>
      <c r="P3" s="2">
        <v>100.0</v>
      </c>
      <c r="Q3" s="2">
        <v>100.0</v>
      </c>
      <c r="R3" s="2">
        <v>100.0</v>
      </c>
      <c r="S3" s="2">
        <v>100.0</v>
      </c>
      <c r="T3" s="2">
        <v>100.0</v>
      </c>
      <c r="U3" s="2">
        <v>100.0</v>
      </c>
      <c r="V3" s="2">
        <v>100.0</v>
      </c>
    </row>
    <row r="4" ht="24.0" customHeight="1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</v>
      </c>
      <c r="O4" s="7" t="s">
        <v>1</v>
      </c>
      <c r="P4" s="7" t="s">
        <v>1</v>
      </c>
      <c r="Q4" s="7" t="s">
        <v>1</v>
      </c>
      <c r="R4" s="7" t="s">
        <v>1</v>
      </c>
      <c r="S4" s="7" t="s">
        <v>1</v>
      </c>
      <c r="T4" s="7" t="s">
        <v>1</v>
      </c>
      <c r="U4" s="7" t="s">
        <v>1</v>
      </c>
      <c r="V4" s="7" t="s">
        <v>1</v>
      </c>
    </row>
    <row r="5" ht="24.0" customHeight="1">
      <c r="A5" s="8" t="s">
        <v>33</v>
      </c>
      <c r="B5" s="8" t="s">
        <v>1</v>
      </c>
      <c r="C5" s="8" t="s">
        <v>1</v>
      </c>
      <c r="D5" s="9">
        <f>iferror(sumifs(E5:V5,E5:V5,"&lt;&gt;",E4:V4,"")/sumifs(E3:V3,E5:V5,"&lt;&gt;",E4:V4,""),"")</f>
        <v>0.5022437699</v>
      </c>
      <c r="E5" s="10" t="str">
        <f t="shared" ref="E5:V5" si="1">iferror(average(E6:E63),"")</f>
        <v/>
      </c>
      <c r="F5" s="10">
        <f t="shared" si="1"/>
        <v>4.25</v>
      </c>
      <c r="G5" s="10">
        <f t="shared" si="1"/>
        <v>5</v>
      </c>
      <c r="H5" s="10">
        <f t="shared" si="1"/>
        <v>5</v>
      </c>
      <c r="I5" s="10" t="str">
        <f t="shared" si="1"/>
        <v/>
      </c>
      <c r="J5" s="10">
        <f t="shared" si="1"/>
        <v>76.75</v>
      </c>
      <c r="K5" s="10">
        <f t="shared" si="1"/>
        <v>70.2</v>
      </c>
      <c r="L5" s="10">
        <f t="shared" si="1"/>
        <v>33.52083333</v>
      </c>
      <c r="M5" s="10">
        <f t="shared" si="1"/>
        <v>73.625</v>
      </c>
      <c r="N5" s="10">
        <f t="shared" si="1"/>
        <v>82.62068966</v>
      </c>
      <c r="O5" s="10">
        <f t="shared" si="1"/>
        <v>39.66666667</v>
      </c>
      <c r="P5" s="10">
        <f t="shared" si="1"/>
        <v>86.80645161</v>
      </c>
      <c r="Q5" s="10">
        <f t="shared" si="1"/>
        <v>75.65384615</v>
      </c>
      <c r="R5" s="10">
        <f t="shared" si="1"/>
        <v>5</v>
      </c>
      <c r="S5" s="10">
        <f t="shared" si="1"/>
        <v>36.78947368</v>
      </c>
      <c r="T5" s="10">
        <f t="shared" si="1"/>
        <v>85.13636364</v>
      </c>
      <c r="U5" s="10">
        <f t="shared" si="1"/>
        <v>86.38888889</v>
      </c>
      <c r="V5" s="10">
        <f t="shared" si="1"/>
        <v>37.18181818</v>
      </c>
      <c r="W5" s="11" t="s">
        <v>34</v>
      </c>
      <c r="X5" s="11" t="s">
        <v>35</v>
      </c>
      <c r="Y5" s="11" t="s">
        <v>36</v>
      </c>
    </row>
    <row r="6" ht="24.0" customHeight="1">
      <c r="A6" s="12" t="s">
        <v>37</v>
      </c>
      <c r="B6" s="12" t="s">
        <v>38</v>
      </c>
      <c r="C6" s="12" t="s">
        <v>39</v>
      </c>
      <c r="D6" s="13">
        <f>iferror(sumif(E6:V6,"&lt;&gt;")/sumif(E6:V6,"&lt;&gt;",E3:V3),"")</f>
        <v>0.646</v>
      </c>
      <c r="E6" s="12"/>
      <c r="F6" s="12"/>
      <c r="G6" s="12">
        <v>5.0</v>
      </c>
      <c r="H6" s="12">
        <v>5.0</v>
      </c>
      <c r="I6" s="12"/>
      <c r="J6" s="12">
        <v>95.0</v>
      </c>
      <c r="K6" s="12">
        <v>58.0</v>
      </c>
      <c r="L6" s="12">
        <v>53.0</v>
      </c>
      <c r="M6" s="12">
        <v>81.0</v>
      </c>
      <c r="N6" s="12">
        <v>100.0</v>
      </c>
      <c r="O6" s="12">
        <v>55.0</v>
      </c>
      <c r="P6" s="12">
        <v>100.0</v>
      </c>
      <c r="Q6" s="12">
        <v>100.0</v>
      </c>
      <c r="R6" s="12">
        <v>5.0</v>
      </c>
      <c r="S6" s="12">
        <v>50.0</v>
      </c>
      <c r="T6" s="12">
        <v>100.0</v>
      </c>
      <c r="U6" s="12">
        <v>100.0</v>
      </c>
      <c r="V6" s="12">
        <v>62.0</v>
      </c>
      <c r="W6" s="14">
        <f t="shared" ref="W6:W62" si="2">(P6+Q6+T6+U6)/4</f>
        <v>100</v>
      </c>
      <c r="X6" s="14">
        <f t="shared" ref="X6:X62" si="3">(S6+V6)/2</f>
        <v>56</v>
      </c>
      <c r="Y6" s="14">
        <f t="shared" ref="Y6:Y62" si="4">W6*0.2+X6*0.8+R6+H6</f>
        <v>74.8</v>
      </c>
    </row>
    <row r="7" ht="24.0" customHeight="1">
      <c r="A7" s="12" t="s">
        <v>40</v>
      </c>
      <c r="B7" s="12" t="s">
        <v>41</v>
      </c>
      <c r="C7" s="12" t="s">
        <v>42</v>
      </c>
      <c r="D7" s="13">
        <f>iferror(sumif(E7:V7,"&lt;&gt;")/sumif(E7:V7,"&lt;&gt;",E3:V3),"")</f>
        <v>0.5735714286</v>
      </c>
      <c r="E7" s="12"/>
      <c r="F7" s="12">
        <v>5.0</v>
      </c>
      <c r="G7" s="12">
        <v>5.0</v>
      </c>
      <c r="H7" s="12">
        <v>5.0</v>
      </c>
      <c r="I7" s="12"/>
      <c r="J7" s="12">
        <v>100.0</v>
      </c>
      <c r="K7" s="12">
        <v>80.0</v>
      </c>
      <c r="L7" s="12">
        <v>33.0</v>
      </c>
      <c r="M7" s="12">
        <v>82.0</v>
      </c>
      <c r="N7" s="12">
        <v>98.0</v>
      </c>
      <c r="O7" s="12">
        <v>40.0</v>
      </c>
      <c r="P7" s="12">
        <v>100.0</v>
      </c>
      <c r="Q7" s="12">
        <v>100.0</v>
      </c>
      <c r="R7" s="12"/>
      <c r="S7" s="12">
        <v>25.0</v>
      </c>
      <c r="T7" s="12">
        <v>100.0</v>
      </c>
      <c r="U7" s="12"/>
      <c r="V7" s="12">
        <v>30.0</v>
      </c>
      <c r="W7" s="14">
        <f t="shared" si="2"/>
        <v>75</v>
      </c>
      <c r="X7" s="14">
        <f t="shared" si="3"/>
        <v>27.5</v>
      </c>
      <c r="Y7" s="14">
        <f t="shared" si="4"/>
        <v>42</v>
      </c>
    </row>
    <row r="8" ht="24.0" customHeight="1">
      <c r="A8" s="12" t="s">
        <v>43</v>
      </c>
      <c r="B8" s="12" t="s">
        <v>44</v>
      </c>
      <c r="C8" s="12" t="s">
        <v>45</v>
      </c>
      <c r="D8" s="13">
        <f>iferror(sumif(E8:V8,"&lt;&gt;")/sumif(E8:V8,"&lt;&gt;",E3:V3),"")</f>
        <v>0.355</v>
      </c>
      <c r="E8" s="12"/>
      <c r="F8" s="12"/>
      <c r="G8" s="12"/>
      <c r="H8" s="12"/>
      <c r="I8" s="12"/>
      <c r="J8" s="12">
        <v>10.0</v>
      </c>
      <c r="K8" s="12">
        <v>75.0</v>
      </c>
      <c r="L8" s="12">
        <v>16.0</v>
      </c>
      <c r="M8" s="12">
        <v>24.0</v>
      </c>
      <c r="N8" s="12">
        <v>67.0</v>
      </c>
      <c r="O8" s="12">
        <v>30.0</v>
      </c>
      <c r="P8" s="12"/>
      <c r="Q8" s="12">
        <v>37.0</v>
      </c>
      <c r="R8" s="12"/>
      <c r="S8" s="12"/>
      <c r="T8" s="12"/>
      <c r="U8" s="12"/>
      <c r="V8" s="12">
        <v>25.0</v>
      </c>
      <c r="W8" s="14">
        <f t="shared" si="2"/>
        <v>9.25</v>
      </c>
      <c r="X8" s="14">
        <f t="shared" si="3"/>
        <v>12.5</v>
      </c>
      <c r="Y8" s="14">
        <f t="shared" si="4"/>
        <v>11.85</v>
      </c>
    </row>
    <row r="9" ht="24.0" customHeight="1">
      <c r="A9" s="12" t="s">
        <v>46</v>
      </c>
      <c r="B9" s="12" t="s">
        <v>47</v>
      </c>
      <c r="C9" s="12" t="s">
        <v>48</v>
      </c>
      <c r="D9" s="13">
        <f>iferror(sumif(E9:V9,"&lt;&gt;")/sumif(E9:V9,"&lt;&gt;",E3:V3),"")</f>
        <v>0.6633333333</v>
      </c>
      <c r="E9" s="12"/>
      <c r="F9" s="12"/>
      <c r="G9" s="12">
        <v>5.0</v>
      </c>
      <c r="H9" s="12">
        <v>5.0</v>
      </c>
      <c r="I9" s="12"/>
      <c r="J9" s="12">
        <v>100.0</v>
      </c>
      <c r="K9" s="12">
        <v>80.0</v>
      </c>
      <c r="L9" s="12">
        <v>48.0</v>
      </c>
      <c r="M9" s="12">
        <v>80.0</v>
      </c>
      <c r="N9" s="12">
        <v>80.0</v>
      </c>
      <c r="O9" s="12">
        <v>75.0</v>
      </c>
      <c r="P9" s="12">
        <v>100.0</v>
      </c>
      <c r="Q9" s="12">
        <v>100.0</v>
      </c>
      <c r="R9" s="12">
        <v>5.0</v>
      </c>
      <c r="S9" s="12">
        <v>57.0</v>
      </c>
      <c r="T9" s="12">
        <v>100.0</v>
      </c>
      <c r="U9" s="12">
        <v>100.0</v>
      </c>
      <c r="V9" s="12">
        <v>60.0</v>
      </c>
      <c r="W9" s="14">
        <f t="shared" si="2"/>
        <v>100</v>
      </c>
      <c r="X9" s="14">
        <f t="shared" si="3"/>
        <v>58.5</v>
      </c>
      <c r="Y9" s="14">
        <f t="shared" si="4"/>
        <v>76.8</v>
      </c>
    </row>
    <row r="10" ht="24.0" customHeight="1">
      <c r="A10" s="12" t="s">
        <v>49</v>
      </c>
      <c r="B10" s="12" t="s">
        <v>50</v>
      </c>
      <c r="C10" s="12" t="s">
        <v>51</v>
      </c>
      <c r="D10" s="13">
        <f>iferror(sumif(E10:V10,"&lt;&gt;")/sumif(E10:V10,"&lt;&gt;",E3:V3),"")</f>
        <v>0.265</v>
      </c>
      <c r="E10" s="12"/>
      <c r="F10" s="12"/>
      <c r="G10" s="12"/>
      <c r="H10" s="12"/>
      <c r="I10" s="12"/>
      <c r="J10" s="12">
        <v>60.0</v>
      </c>
      <c r="K10" s="12"/>
      <c r="L10" s="12">
        <v>10.0</v>
      </c>
      <c r="M10" s="12">
        <v>32.0</v>
      </c>
      <c r="N10" s="12"/>
      <c r="O10" s="12">
        <v>0.0</v>
      </c>
      <c r="P10" s="12">
        <v>55.0</v>
      </c>
      <c r="Q10" s="12"/>
      <c r="R10" s="12"/>
      <c r="S10" s="12">
        <v>2.0</v>
      </c>
      <c r="T10" s="12"/>
      <c r="U10" s="12"/>
      <c r="V10" s="12"/>
      <c r="W10" s="14">
        <f t="shared" si="2"/>
        <v>13.75</v>
      </c>
      <c r="X10" s="14">
        <f t="shared" si="3"/>
        <v>1</v>
      </c>
      <c r="Y10" s="14">
        <f t="shared" si="4"/>
        <v>3.55</v>
      </c>
    </row>
    <row r="11" ht="24.0" customHeight="1">
      <c r="A11" s="12" t="s">
        <v>52</v>
      </c>
      <c r="B11" s="12" t="s">
        <v>53</v>
      </c>
      <c r="C11" s="12" t="s">
        <v>54</v>
      </c>
      <c r="D11" s="13">
        <f>iferror(sumif(E11:V11,"&lt;&gt;")/sumif(E11:V11,"&lt;&gt;",E3:V3),"")</f>
        <v>0.5910714286</v>
      </c>
      <c r="E11" s="12"/>
      <c r="F11" s="12">
        <v>2.5</v>
      </c>
      <c r="G11" s="12">
        <v>5.0</v>
      </c>
      <c r="H11" s="12"/>
      <c r="I11" s="12"/>
      <c r="J11" s="12">
        <v>88.0</v>
      </c>
      <c r="K11" s="12">
        <v>81.0</v>
      </c>
      <c r="L11" s="12">
        <v>57.0</v>
      </c>
      <c r="M11" s="12">
        <v>35.0</v>
      </c>
      <c r="N11" s="12">
        <v>68.0</v>
      </c>
      <c r="O11" s="12">
        <v>97.0</v>
      </c>
      <c r="P11" s="12">
        <v>100.0</v>
      </c>
      <c r="Q11" s="12">
        <v>80.0</v>
      </c>
      <c r="R11" s="12"/>
      <c r="S11" s="12">
        <v>37.0</v>
      </c>
      <c r="T11" s="12">
        <v>95.0</v>
      </c>
      <c r="U11" s="12">
        <v>60.0</v>
      </c>
      <c r="V11" s="12">
        <v>22.0</v>
      </c>
      <c r="W11" s="14">
        <f t="shared" si="2"/>
        <v>83.75</v>
      </c>
      <c r="X11" s="14">
        <f t="shared" si="3"/>
        <v>29.5</v>
      </c>
      <c r="Y11" s="14">
        <f t="shared" si="4"/>
        <v>40.35</v>
      </c>
    </row>
    <row r="12" ht="24.0" customHeight="1">
      <c r="A12" s="12" t="s">
        <v>55</v>
      </c>
      <c r="B12" s="12" t="s">
        <v>56</v>
      </c>
      <c r="C12" s="12" t="s">
        <v>57</v>
      </c>
      <c r="D12" s="13">
        <f>iferror(sumif(E12:V12,"&lt;&gt;")/sumif(E12:V12,"&lt;&gt;",E3:V3),"")</f>
        <v>0.4846153846</v>
      </c>
      <c r="E12" s="12"/>
      <c r="F12" s="12">
        <v>5.0</v>
      </c>
      <c r="G12" s="12"/>
      <c r="H12" s="12"/>
      <c r="I12" s="12"/>
      <c r="J12" s="12">
        <v>45.0</v>
      </c>
      <c r="K12" s="12"/>
      <c r="L12" s="12">
        <v>20.0</v>
      </c>
      <c r="M12" s="12">
        <v>82.0</v>
      </c>
      <c r="N12" s="12">
        <v>69.0</v>
      </c>
      <c r="O12" s="12">
        <v>60.0</v>
      </c>
      <c r="P12" s="12">
        <v>95.0</v>
      </c>
      <c r="Q12" s="12">
        <v>60.0</v>
      </c>
      <c r="R12" s="12">
        <v>5.0</v>
      </c>
      <c r="S12" s="12">
        <v>50.0</v>
      </c>
      <c r="T12" s="12">
        <v>75.0</v>
      </c>
      <c r="U12" s="12">
        <v>40.0</v>
      </c>
      <c r="V12" s="12">
        <v>24.0</v>
      </c>
      <c r="W12" s="14">
        <f t="shared" si="2"/>
        <v>67.5</v>
      </c>
      <c r="X12" s="14">
        <f t="shared" si="3"/>
        <v>37</v>
      </c>
      <c r="Y12" s="14">
        <f t="shared" si="4"/>
        <v>48.1</v>
      </c>
    </row>
    <row r="13" ht="24.0" customHeight="1">
      <c r="A13" s="12" t="s">
        <v>58</v>
      </c>
      <c r="B13" s="12" t="s">
        <v>59</v>
      </c>
      <c r="C13" s="12" t="s">
        <v>60</v>
      </c>
      <c r="D13" s="13">
        <f>iferror(sumif(E13:V13,"&lt;&gt;")/sumif(E13:V13,"&lt;&gt;",E3:V3),"")</f>
        <v>0</v>
      </c>
      <c r="E13" s="12"/>
      <c r="F13" s="12"/>
      <c r="G13" s="12"/>
      <c r="H13" s="12"/>
      <c r="I13" s="12"/>
      <c r="J13" s="12"/>
      <c r="K13" s="12"/>
      <c r="L13" s="12">
        <v>0.0</v>
      </c>
      <c r="M13" s="12"/>
      <c r="N13" s="12"/>
      <c r="O13" s="12">
        <v>0.0</v>
      </c>
      <c r="P13" s="12"/>
      <c r="Q13" s="12"/>
      <c r="R13" s="12"/>
      <c r="S13" s="12">
        <v>0.0</v>
      </c>
      <c r="T13" s="12"/>
      <c r="U13" s="12"/>
      <c r="V13" s="12"/>
      <c r="W13" s="14">
        <f t="shared" si="2"/>
        <v>0</v>
      </c>
      <c r="X13" s="14">
        <f t="shared" si="3"/>
        <v>0</v>
      </c>
      <c r="Y13" s="14">
        <f t="shared" si="4"/>
        <v>0</v>
      </c>
    </row>
    <row r="14" ht="24.0" customHeight="1">
      <c r="A14" s="12" t="s">
        <v>61</v>
      </c>
      <c r="B14" s="12" t="s">
        <v>62</v>
      </c>
      <c r="C14" s="12" t="s">
        <v>63</v>
      </c>
      <c r="D14" s="13">
        <f>iferror(sumif(E14:V14,"&lt;&gt;")/sumif(E14:V14,"&lt;&gt;",E3:V3),"")</f>
        <v>0.7125</v>
      </c>
      <c r="E14" s="12"/>
      <c r="F14" s="12">
        <v>5.0</v>
      </c>
      <c r="G14" s="12">
        <v>5.0</v>
      </c>
      <c r="H14" s="12">
        <v>5.0</v>
      </c>
      <c r="I14" s="12"/>
      <c r="J14" s="12">
        <v>98.0</v>
      </c>
      <c r="K14" s="12">
        <v>80.0</v>
      </c>
      <c r="L14" s="12">
        <v>82.0</v>
      </c>
      <c r="M14" s="12">
        <v>90.0</v>
      </c>
      <c r="N14" s="12">
        <v>100.0</v>
      </c>
      <c r="O14" s="12">
        <v>98.0</v>
      </c>
      <c r="P14" s="12">
        <v>100.0</v>
      </c>
      <c r="Q14" s="12">
        <v>100.0</v>
      </c>
      <c r="R14" s="12">
        <v>5.0</v>
      </c>
      <c r="S14" s="12">
        <v>77.0</v>
      </c>
      <c r="T14" s="12">
        <v>100.0</v>
      </c>
      <c r="U14" s="12">
        <v>100.0</v>
      </c>
      <c r="V14" s="12">
        <v>95.0</v>
      </c>
      <c r="W14" s="14">
        <f t="shared" si="2"/>
        <v>100</v>
      </c>
      <c r="X14" s="14">
        <f t="shared" si="3"/>
        <v>86</v>
      </c>
      <c r="Y14" s="14">
        <f t="shared" si="4"/>
        <v>98.8</v>
      </c>
    </row>
    <row r="15" ht="24.0" customHeight="1">
      <c r="A15" s="12" t="s">
        <v>64</v>
      </c>
      <c r="B15" s="12" t="s">
        <v>65</v>
      </c>
      <c r="C15" s="12" t="s">
        <v>66</v>
      </c>
      <c r="D15" s="13">
        <f>iferror(sumif(E15:V15,"&lt;&gt;")/sumif(E15:V15,"&lt;&gt;",E3:V3),"")</f>
        <v>0.574</v>
      </c>
      <c r="E15" s="12"/>
      <c r="F15" s="12"/>
      <c r="G15" s="12"/>
      <c r="H15" s="12"/>
      <c r="I15" s="12"/>
      <c r="J15" s="12">
        <v>100.0</v>
      </c>
      <c r="K15" s="12"/>
      <c r="L15" s="12">
        <v>27.0</v>
      </c>
      <c r="M15" s="12">
        <v>86.0</v>
      </c>
      <c r="N15" s="12">
        <v>64.0</v>
      </c>
      <c r="O15" s="12">
        <v>10.0</v>
      </c>
      <c r="P15" s="12"/>
      <c r="Q15" s="12"/>
      <c r="R15" s="12"/>
      <c r="S15" s="12"/>
      <c r="T15" s="12"/>
      <c r="U15" s="12"/>
      <c r="V15" s="12"/>
      <c r="W15" s="14">
        <f t="shared" si="2"/>
        <v>0</v>
      </c>
      <c r="X15" s="14">
        <f t="shared" si="3"/>
        <v>0</v>
      </c>
      <c r="Y15" s="14">
        <f t="shared" si="4"/>
        <v>0</v>
      </c>
    </row>
    <row r="16" ht="24.0" customHeight="1">
      <c r="A16" s="12" t="s">
        <v>67</v>
      </c>
      <c r="B16" s="12" t="s">
        <v>68</v>
      </c>
      <c r="C16" s="12" t="s">
        <v>69</v>
      </c>
      <c r="D16" s="13" t="str">
        <f>iferror(sumif(E16:V16,"&lt;&gt;")/sumif(E16:V16,"&lt;&gt;",E3:V3),"")</f>
        <v/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4">
        <f t="shared" si="2"/>
        <v>0</v>
      </c>
      <c r="X16" s="14">
        <f t="shared" si="3"/>
        <v>0</v>
      </c>
      <c r="Y16" s="14">
        <f t="shared" si="4"/>
        <v>0</v>
      </c>
    </row>
    <row r="17" ht="24.0" customHeight="1">
      <c r="A17" s="12" t="s">
        <v>70</v>
      </c>
      <c r="B17" s="12" t="s">
        <v>71</v>
      </c>
      <c r="C17" s="12" t="s">
        <v>72</v>
      </c>
      <c r="D17" s="13" t="str">
        <f>iferror(sumif(E17:V17,"&lt;&gt;")/sumif(E17:V17,"&lt;&gt;",E3:V3),"")</f>
        <v/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4">
        <f t="shared" si="2"/>
        <v>0</v>
      </c>
      <c r="X17" s="14">
        <f t="shared" si="3"/>
        <v>0</v>
      </c>
      <c r="Y17" s="14">
        <f t="shared" si="4"/>
        <v>0</v>
      </c>
    </row>
    <row r="18" ht="24.0" customHeight="1">
      <c r="A18" s="12" t="s">
        <v>73</v>
      </c>
      <c r="B18" s="12" t="s">
        <v>74</v>
      </c>
      <c r="C18" s="12" t="s">
        <v>75</v>
      </c>
      <c r="D18" s="13" t="str">
        <f>iferror(sumif(E18:V18,"&lt;&gt;")/sumif(E18:V18,"&lt;&gt;",E3:V3),"")</f>
        <v/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4">
        <f t="shared" si="2"/>
        <v>0</v>
      </c>
      <c r="X18" s="14">
        <f t="shared" si="3"/>
        <v>0</v>
      </c>
      <c r="Y18" s="14">
        <f t="shared" si="4"/>
        <v>0</v>
      </c>
    </row>
    <row r="19" ht="24.0" customHeight="1">
      <c r="A19" s="12" t="s">
        <v>76</v>
      </c>
      <c r="B19" s="12" t="s">
        <v>77</v>
      </c>
      <c r="C19" s="12" t="s">
        <v>78</v>
      </c>
      <c r="D19" s="13" t="str">
        <f>iferror(sumif(E19:V19,"&lt;&gt;")/sumif(E19:V19,"&lt;&gt;",E3:V3),"")</f>
        <v/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4">
        <f t="shared" si="2"/>
        <v>0</v>
      </c>
      <c r="X19" s="14">
        <f t="shared" si="3"/>
        <v>0</v>
      </c>
      <c r="Y19" s="14">
        <f t="shared" si="4"/>
        <v>0</v>
      </c>
    </row>
    <row r="20" ht="24.0" customHeight="1">
      <c r="A20" s="12" t="s">
        <v>79</v>
      </c>
      <c r="B20" s="12" t="s">
        <v>80</v>
      </c>
      <c r="C20" s="12" t="s">
        <v>81</v>
      </c>
      <c r="D20" s="13">
        <f>iferror(sumif(E20:V20,"&lt;&gt;")/sumif(E20:V20,"&lt;&gt;",E3:V3),"")</f>
        <v>0.529</v>
      </c>
      <c r="E20" s="12"/>
      <c r="F20" s="12"/>
      <c r="G20" s="12"/>
      <c r="H20" s="12"/>
      <c r="I20" s="12"/>
      <c r="J20" s="12">
        <v>100.0</v>
      </c>
      <c r="K20" s="12">
        <v>70.0</v>
      </c>
      <c r="L20" s="12">
        <v>41.0</v>
      </c>
      <c r="M20" s="12">
        <v>79.0</v>
      </c>
      <c r="N20" s="12">
        <v>78.0</v>
      </c>
      <c r="O20" s="12">
        <v>22.0</v>
      </c>
      <c r="P20" s="12">
        <v>90.0</v>
      </c>
      <c r="Q20" s="12">
        <v>44.0</v>
      </c>
      <c r="R20" s="12"/>
      <c r="S20" s="12">
        <v>5.0</v>
      </c>
      <c r="T20" s="12"/>
      <c r="U20" s="12"/>
      <c r="V20" s="12">
        <v>0.0</v>
      </c>
      <c r="W20" s="14">
        <f t="shared" si="2"/>
        <v>33.5</v>
      </c>
      <c r="X20" s="14">
        <f t="shared" si="3"/>
        <v>2.5</v>
      </c>
      <c r="Y20" s="14">
        <f t="shared" si="4"/>
        <v>8.7</v>
      </c>
    </row>
    <row r="21" ht="24.0" customHeight="1">
      <c r="A21" s="12" t="s">
        <v>82</v>
      </c>
      <c r="B21" s="12" t="s">
        <v>83</v>
      </c>
      <c r="C21" s="12" t="s">
        <v>84</v>
      </c>
      <c r="D21" s="13">
        <f>iferror(sumif(E21:V21,"&lt;&gt;")/sumif(E21:V21,"&lt;&gt;",E3:V3),"")</f>
        <v>0.4657142857</v>
      </c>
      <c r="E21" s="12"/>
      <c r="F21" s="12"/>
      <c r="G21" s="12">
        <v>5.0</v>
      </c>
      <c r="H21" s="12"/>
      <c r="I21" s="12"/>
      <c r="J21" s="12"/>
      <c r="K21" s="12">
        <v>77.0</v>
      </c>
      <c r="L21" s="12">
        <v>0.0</v>
      </c>
      <c r="M21" s="12">
        <v>80.0</v>
      </c>
      <c r="N21" s="12"/>
      <c r="O21" s="12">
        <v>0.0</v>
      </c>
      <c r="P21" s="12">
        <v>80.0</v>
      </c>
      <c r="Q21" s="12"/>
      <c r="R21" s="12"/>
      <c r="S21" s="12"/>
      <c r="T21" s="12">
        <v>84.0</v>
      </c>
      <c r="U21" s="12"/>
      <c r="V21" s="12"/>
      <c r="W21" s="14">
        <f t="shared" si="2"/>
        <v>41</v>
      </c>
      <c r="X21" s="14">
        <f t="shared" si="3"/>
        <v>0</v>
      </c>
      <c r="Y21" s="14">
        <f t="shared" si="4"/>
        <v>8.2</v>
      </c>
    </row>
    <row r="22" ht="24.0" customHeight="1">
      <c r="A22" s="12" t="s">
        <v>85</v>
      </c>
      <c r="B22" s="12" t="s">
        <v>86</v>
      </c>
      <c r="C22" s="12" t="s">
        <v>87</v>
      </c>
      <c r="D22" s="13">
        <f>iferror(sumif(E22:V22,"&lt;&gt;")/sumif(E22:V22,"&lt;&gt;",E3:V3),"")</f>
        <v>0.7266666667</v>
      </c>
      <c r="E22" s="12"/>
      <c r="F22" s="12"/>
      <c r="G22" s="12"/>
      <c r="H22" s="12"/>
      <c r="I22" s="12"/>
      <c r="J22" s="12">
        <v>90.0</v>
      </c>
      <c r="K22" s="12">
        <v>78.0</v>
      </c>
      <c r="L22" s="12">
        <v>50.0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4">
        <f t="shared" si="2"/>
        <v>0</v>
      </c>
      <c r="X22" s="14">
        <f t="shared" si="3"/>
        <v>0</v>
      </c>
      <c r="Y22" s="14">
        <f t="shared" si="4"/>
        <v>0</v>
      </c>
    </row>
    <row r="23" ht="24.0" customHeight="1">
      <c r="A23" s="12" t="s">
        <v>88</v>
      </c>
      <c r="B23" s="12" t="s">
        <v>89</v>
      </c>
      <c r="C23" s="12" t="s">
        <v>90</v>
      </c>
      <c r="D23" s="13">
        <f>iferror(sumif(E23:V23,"&lt;&gt;")/sumif(E23:V23,"&lt;&gt;",E3:V3),"")</f>
        <v>0.7509090909</v>
      </c>
      <c r="E23" s="12"/>
      <c r="F23" s="12"/>
      <c r="G23" s="12"/>
      <c r="H23" s="12"/>
      <c r="I23" s="12"/>
      <c r="J23" s="12"/>
      <c r="K23" s="12">
        <v>75.0</v>
      </c>
      <c r="L23" s="12">
        <v>17.0</v>
      </c>
      <c r="M23" s="12">
        <v>65.0</v>
      </c>
      <c r="N23" s="12">
        <v>93.0</v>
      </c>
      <c r="O23" s="12">
        <v>95.0</v>
      </c>
      <c r="P23" s="12">
        <v>90.0</v>
      </c>
      <c r="Q23" s="12">
        <v>31.0</v>
      </c>
      <c r="R23" s="12"/>
      <c r="S23" s="12">
        <v>65.0</v>
      </c>
      <c r="T23" s="12">
        <v>100.0</v>
      </c>
      <c r="U23" s="12">
        <v>100.0</v>
      </c>
      <c r="V23" s="12">
        <v>95.0</v>
      </c>
      <c r="W23" s="14">
        <f t="shared" si="2"/>
        <v>80.25</v>
      </c>
      <c r="X23" s="14">
        <f t="shared" si="3"/>
        <v>80</v>
      </c>
      <c r="Y23" s="14">
        <f t="shared" si="4"/>
        <v>80.05</v>
      </c>
    </row>
    <row r="24" ht="24.0" customHeight="1">
      <c r="A24" s="12" t="s">
        <v>91</v>
      </c>
      <c r="B24" s="12" t="s">
        <v>92</v>
      </c>
      <c r="C24" s="12" t="s">
        <v>93</v>
      </c>
      <c r="D24" s="13">
        <f>iferror(sumif(E24:V24,"&lt;&gt;")/sumif(E24:V24,"&lt;&gt;",E3:V3),"")</f>
        <v>0.3928571429</v>
      </c>
      <c r="E24" s="12"/>
      <c r="F24" s="12"/>
      <c r="G24" s="12"/>
      <c r="H24" s="12"/>
      <c r="I24" s="12"/>
      <c r="J24" s="12">
        <v>80.0</v>
      </c>
      <c r="K24" s="12">
        <v>78.0</v>
      </c>
      <c r="L24" s="12">
        <v>60.0</v>
      </c>
      <c r="M24" s="12"/>
      <c r="N24" s="12"/>
      <c r="O24" s="12">
        <v>0.0</v>
      </c>
      <c r="P24" s="12">
        <v>45.0</v>
      </c>
      <c r="Q24" s="12"/>
      <c r="R24" s="12"/>
      <c r="S24" s="12">
        <v>10.0</v>
      </c>
      <c r="T24" s="12"/>
      <c r="U24" s="12"/>
      <c r="V24" s="12">
        <v>2.0</v>
      </c>
      <c r="W24" s="14">
        <f t="shared" si="2"/>
        <v>11.25</v>
      </c>
      <c r="X24" s="14">
        <f t="shared" si="3"/>
        <v>6</v>
      </c>
      <c r="Y24" s="14">
        <f t="shared" si="4"/>
        <v>7.05</v>
      </c>
    </row>
    <row r="25" ht="24.0" customHeight="1">
      <c r="A25" s="12" t="s">
        <v>94</v>
      </c>
      <c r="B25" s="12" t="s">
        <v>95</v>
      </c>
      <c r="C25" s="12" t="s">
        <v>96</v>
      </c>
      <c r="D25" s="13">
        <f>iferror(sumif(E25:V25,"&lt;&gt;")/sumif(E25:V25,"&lt;&gt;",E3:V3),"")</f>
        <v>0.672</v>
      </c>
      <c r="E25" s="12"/>
      <c r="F25" s="12"/>
      <c r="G25" s="12"/>
      <c r="H25" s="12"/>
      <c r="I25" s="12"/>
      <c r="J25" s="12">
        <v>45.0</v>
      </c>
      <c r="K25" s="12">
        <v>80.0</v>
      </c>
      <c r="L25" s="12">
        <v>47.0</v>
      </c>
      <c r="M25" s="12">
        <v>82.0</v>
      </c>
      <c r="N25" s="12">
        <v>93.0</v>
      </c>
      <c r="O25" s="12">
        <v>43.0</v>
      </c>
      <c r="P25" s="12">
        <v>100.0</v>
      </c>
      <c r="Q25" s="12"/>
      <c r="R25" s="12"/>
      <c r="S25" s="12">
        <v>70.0</v>
      </c>
      <c r="T25" s="12">
        <v>84.0</v>
      </c>
      <c r="U25" s="12"/>
      <c r="V25" s="12">
        <v>28.0</v>
      </c>
      <c r="W25" s="14">
        <f t="shared" si="2"/>
        <v>46</v>
      </c>
      <c r="X25" s="14">
        <f t="shared" si="3"/>
        <v>49</v>
      </c>
      <c r="Y25" s="14">
        <f t="shared" si="4"/>
        <v>48.4</v>
      </c>
    </row>
    <row r="26" ht="24.0" customHeight="1">
      <c r="A26" s="12" t="s">
        <v>97</v>
      </c>
      <c r="B26" s="12" t="s">
        <v>98</v>
      </c>
      <c r="C26" s="12" t="s">
        <v>99</v>
      </c>
      <c r="D26" s="13">
        <f>iferror(sumif(E26:V26,"&lt;&gt;")/sumif(E26:V26,"&lt;&gt;",E3:V3),"")</f>
        <v>0.67</v>
      </c>
      <c r="E26" s="12"/>
      <c r="F26" s="12"/>
      <c r="G26" s="12"/>
      <c r="H26" s="12"/>
      <c r="I26" s="12"/>
      <c r="J26" s="12">
        <v>40.0</v>
      </c>
      <c r="K26" s="12">
        <v>75.0</v>
      </c>
      <c r="L26" s="12">
        <v>39.0</v>
      </c>
      <c r="M26" s="12">
        <v>62.0</v>
      </c>
      <c r="N26" s="12">
        <v>89.0</v>
      </c>
      <c r="O26" s="12">
        <v>42.0</v>
      </c>
      <c r="P26" s="12">
        <v>100.0</v>
      </c>
      <c r="Q26" s="12">
        <v>98.0</v>
      </c>
      <c r="R26" s="12"/>
      <c r="S26" s="12">
        <v>22.0</v>
      </c>
      <c r="T26" s="12">
        <v>100.0</v>
      </c>
      <c r="U26" s="12">
        <v>90.0</v>
      </c>
      <c r="V26" s="12">
        <v>47.0</v>
      </c>
      <c r="W26" s="14">
        <f t="shared" si="2"/>
        <v>97</v>
      </c>
      <c r="X26" s="14">
        <f t="shared" si="3"/>
        <v>34.5</v>
      </c>
      <c r="Y26" s="14">
        <f t="shared" si="4"/>
        <v>47</v>
      </c>
    </row>
    <row r="27" ht="24.0" customHeight="1">
      <c r="A27" s="12" t="s">
        <v>100</v>
      </c>
      <c r="B27" s="12" t="s">
        <v>101</v>
      </c>
      <c r="C27" s="12" t="s">
        <v>102</v>
      </c>
      <c r="D27" s="13">
        <f>iferror(sumif(E27:V27,"&lt;&gt;")/sumif(E27:V27,"&lt;&gt;",E3:V3),"")</f>
        <v>0.05</v>
      </c>
      <c r="E27" s="12"/>
      <c r="F27" s="12"/>
      <c r="G27" s="12"/>
      <c r="H27" s="12"/>
      <c r="I27" s="12"/>
      <c r="J27" s="12"/>
      <c r="K27" s="12"/>
      <c r="L27" s="12">
        <v>10.0</v>
      </c>
      <c r="M27" s="12"/>
      <c r="N27" s="12"/>
      <c r="O27" s="12">
        <v>0.0</v>
      </c>
      <c r="P27" s="12"/>
      <c r="Q27" s="12"/>
      <c r="R27" s="12"/>
      <c r="S27" s="12"/>
      <c r="T27" s="12"/>
      <c r="U27" s="12"/>
      <c r="V27" s="12"/>
      <c r="W27" s="14">
        <f t="shared" si="2"/>
        <v>0</v>
      </c>
      <c r="X27" s="14">
        <f t="shared" si="3"/>
        <v>0</v>
      </c>
      <c r="Y27" s="14">
        <f t="shared" si="4"/>
        <v>0</v>
      </c>
    </row>
    <row r="28" ht="24.0" customHeight="1">
      <c r="A28" s="12" t="s">
        <v>103</v>
      </c>
      <c r="B28" s="12" t="s">
        <v>104</v>
      </c>
      <c r="C28" s="12" t="s">
        <v>105</v>
      </c>
      <c r="D28" s="13">
        <f>iferror(sumif(E28:V28,"&lt;&gt;")/sumif(E28:V28,"&lt;&gt;",E3:V3),"")</f>
        <v>0.4764285714</v>
      </c>
      <c r="E28" s="12"/>
      <c r="F28" s="12"/>
      <c r="G28" s="12">
        <v>5.0</v>
      </c>
      <c r="H28" s="12">
        <v>5.0</v>
      </c>
      <c r="I28" s="12"/>
      <c r="J28" s="12">
        <v>75.0</v>
      </c>
      <c r="K28" s="12">
        <v>70.0</v>
      </c>
      <c r="L28" s="12">
        <v>23.0</v>
      </c>
      <c r="M28" s="12">
        <v>93.0</v>
      </c>
      <c r="N28" s="12">
        <v>62.0</v>
      </c>
      <c r="O28" s="12">
        <v>28.0</v>
      </c>
      <c r="P28" s="12">
        <v>80.0</v>
      </c>
      <c r="Q28" s="12">
        <v>35.0</v>
      </c>
      <c r="R28" s="12">
        <v>5.0</v>
      </c>
      <c r="S28" s="12">
        <v>65.0</v>
      </c>
      <c r="T28" s="12">
        <v>59.0</v>
      </c>
      <c r="U28" s="12"/>
      <c r="V28" s="12">
        <v>62.0</v>
      </c>
      <c r="W28" s="14">
        <f t="shared" si="2"/>
        <v>43.5</v>
      </c>
      <c r="X28" s="14">
        <f t="shared" si="3"/>
        <v>63.5</v>
      </c>
      <c r="Y28" s="14">
        <f t="shared" si="4"/>
        <v>69.5</v>
      </c>
    </row>
    <row r="29" ht="24.0" customHeight="1">
      <c r="A29" s="12" t="s">
        <v>106</v>
      </c>
      <c r="B29" s="12" t="s">
        <v>107</v>
      </c>
      <c r="C29" s="12" t="s">
        <v>108</v>
      </c>
      <c r="D29" s="13">
        <f>iferror(sumif(E29:V29,"&lt;&gt;")/sumif(E29:V29,"&lt;&gt;",E3:V3),"")</f>
        <v>0.6733333333</v>
      </c>
      <c r="E29" s="12"/>
      <c r="F29" s="12"/>
      <c r="G29" s="12"/>
      <c r="H29" s="12"/>
      <c r="I29" s="12"/>
      <c r="J29" s="12">
        <v>95.0</v>
      </c>
      <c r="K29" s="12">
        <v>80.0</v>
      </c>
      <c r="L29" s="12">
        <v>35.0</v>
      </c>
      <c r="M29" s="12">
        <v>86.0</v>
      </c>
      <c r="N29" s="12">
        <v>95.0</v>
      </c>
      <c r="O29" s="12">
        <v>19.0</v>
      </c>
      <c r="P29" s="12">
        <v>100.0</v>
      </c>
      <c r="Q29" s="12">
        <v>98.0</v>
      </c>
      <c r="R29" s="12"/>
      <c r="S29" s="12">
        <v>5.0</v>
      </c>
      <c r="T29" s="12">
        <v>85.0</v>
      </c>
      <c r="U29" s="12">
        <v>100.0</v>
      </c>
      <c r="V29" s="12">
        <v>10.0</v>
      </c>
      <c r="W29" s="14">
        <f t="shared" si="2"/>
        <v>95.75</v>
      </c>
      <c r="X29" s="14">
        <f t="shared" si="3"/>
        <v>7.5</v>
      </c>
      <c r="Y29" s="14">
        <f t="shared" si="4"/>
        <v>25.15</v>
      </c>
    </row>
    <row r="30" ht="24.0" customHeight="1">
      <c r="A30" s="12" t="s">
        <v>109</v>
      </c>
      <c r="B30" s="12" t="s">
        <v>110</v>
      </c>
      <c r="C30" s="12" t="s">
        <v>111</v>
      </c>
      <c r="D30" s="13">
        <f>iferror(sumif(E30:V30,"&lt;&gt;")/sumif(E30:V30,"&lt;&gt;",E3:V3),"")</f>
        <v>0.4122222222</v>
      </c>
      <c r="E30" s="12"/>
      <c r="F30" s="12"/>
      <c r="G30" s="12"/>
      <c r="H30" s="12"/>
      <c r="I30" s="12"/>
      <c r="J30" s="12">
        <v>55.0</v>
      </c>
      <c r="K30" s="12">
        <v>0.0</v>
      </c>
      <c r="L30" s="12">
        <v>23.0</v>
      </c>
      <c r="M30" s="12">
        <v>67.0</v>
      </c>
      <c r="N30" s="12">
        <v>73.0</v>
      </c>
      <c r="O30" s="12">
        <v>25.0</v>
      </c>
      <c r="P30" s="12">
        <v>50.0</v>
      </c>
      <c r="Q30" s="12">
        <v>63.0</v>
      </c>
      <c r="R30" s="12"/>
      <c r="S30" s="12">
        <v>15.0</v>
      </c>
      <c r="T30" s="12"/>
      <c r="U30" s="12"/>
      <c r="V30" s="12"/>
      <c r="W30" s="14">
        <f t="shared" si="2"/>
        <v>28.25</v>
      </c>
      <c r="X30" s="14">
        <f t="shared" si="3"/>
        <v>7.5</v>
      </c>
      <c r="Y30" s="14">
        <f t="shared" si="4"/>
        <v>11.65</v>
      </c>
    </row>
    <row r="31" ht="24.0" customHeight="1">
      <c r="A31" s="12" t="s">
        <v>112</v>
      </c>
      <c r="B31" s="12" t="s">
        <v>110</v>
      </c>
      <c r="C31" s="12" t="s">
        <v>113</v>
      </c>
      <c r="D31" s="13">
        <f>iferror(sumif(E31:V31,"&lt;&gt;")/sumif(E31:V31,"&lt;&gt;",E3:V3),"")</f>
        <v>0.15</v>
      </c>
      <c r="E31" s="12"/>
      <c r="F31" s="12"/>
      <c r="G31" s="12"/>
      <c r="H31" s="12"/>
      <c r="I31" s="12"/>
      <c r="J31" s="12">
        <v>0.0</v>
      </c>
      <c r="K31" s="12"/>
      <c r="L31" s="12">
        <v>20.0</v>
      </c>
      <c r="M31" s="12"/>
      <c r="N31" s="12"/>
      <c r="O31" s="12">
        <v>0.0</v>
      </c>
      <c r="P31" s="12">
        <v>70.0</v>
      </c>
      <c r="Q31" s="12"/>
      <c r="R31" s="12"/>
      <c r="S31" s="12">
        <v>0.0</v>
      </c>
      <c r="T31" s="12"/>
      <c r="U31" s="12"/>
      <c r="V31" s="12">
        <v>0.0</v>
      </c>
      <c r="W31" s="14">
        <f t="shared" si="2"/>
        <v>17.5</v>
      </c>
      <c r="X31" s="14">
        <f t="shared" si="3"/>
        <v>0</v>
      </c>
      <c r="Y31" s="14">
        <f t="shared" si="4"/>
        <v>3.5</v>
      </c>
    </row>
    <row r="32" ht="24.0" customHeight="1">
      <c r="A32" s="12" t="s">
        <v>114</v>
      </c>
      <c r="B32" s="12" t="s">
        <v>115</v>
      </c>
      <c r="C32" s="12" t="s">
        <v>116</v>
      </c>
      <c r="D32" s="13">
        <f>iferror(sumif(E32:V32,"&lt;&gt;")/sumif(E32:V32,"&lt;&gt;",E3:V3),"")</f>
        <v>0.31</v>
      </c>
      <c r="E32" s="12"/>
      <c r="F32" s="12"/>
      <c r="G32" s="12"/>
      <c r="H32" s="12"/>
      <c r="I32" s="12"/>
      <c r="J32" s="12"/>
      <c r="K32" s="12">
        <v>78.0</v>
      </c>
      <c r="L32" s="12">
        <v>0.0</v>
      </c>
      <c r="M32" s="12">
        <v>77.0</v>
      </c>
      <c r="N32" s="12"/>
      <c r="O32" s="12">
        <v>0.0</v>
      </c>
      <c r="P32" s="12"/>
      <c r="Q32" s="12"/>
      <c r="R32" s="12"/>
      <c r="S32" s="12">
        <v>0.0</v>
      </c>
      <c r="T32" s="12"/>
      <c r="U32" s="12"/>
      <c r="V32" s="12"/>
      <c r="W32" s="14">
        <f t="shared" si="2"/>
        <v>0</v>
      </c>
      <c r="X32" s="14">
        <f t="shared" si="3"/>
        <v>0</v>
      </c>
      <c r="Y32" s="14">
        <f t="shared" si="4"/>
        <v>0</v>
      </c>
    </row>
    <row r="33" ht="24.0" customHeight="1">
      <c r="A33" s="12" t="s">
        <v>117</v>
      </c>
      <c r="B33" s="12" t="s">
        <v>118</v>
      </c>
      <c r="C33" s="12" t="s">
        <v>119</v>
      </c>
      <c r="D33" s="13">
        <f>iferror(sumif(E33:V33,"&lt;&gt;")/sumif(E33:V33,"&lt;&gt;",E3:V3),"")</f>
        <v>0.7461538462</v>
      </c>
      <c r="E33" s="12"/>
      <c r="F33" s="12"/>
      <c r="G33" s="12"/>
      <c r="H33" s="12">
        <v>5.0</v>
      </c>
      <c r="I33" s="12"/>
      <c r="J33" s="12">
        <v>95.0</v>
      </c>
      <c r="K33" s="12">
        <v>84.0</v>
      </c>
      <c r="L33" s="12">
        <v>47.0</v>
      </c>
      <c r="M33" s="12">
        <v>93.0</v>
      </c>
      <c r="N33" s="12">
        <v>95.0</v>
      </c>
      <c r="O33" s="12">
        <v>80.0</v>
      </c>
      <c r="P33" s="12">
        <v>100.0</v>
      </c>
      <c r="Q33" s="12">
        <v>100.0</v>
      </c>
      <c r="R33" s="12"/>
      <c r="S33" s="12">
        <v>40.0</v>
      </c>
      <c r="T33" s="12">
        <v>83.0</v>
      </c>
      <c r="U33" s="12">
        <v>100.0</v>
      </c>
      <c r="V33" s="12">
        <v>48.0</v>
      </c>
      <c r="W33" s="14">
        <f t="shared" si="2"/>
        <v>95.75</v>
      </c>
      <c r="X33" s="14">
        <f t="shared" si="3"/>
        <v>44</v>
      </c>
      <c r="Y33" s="14">
        <f t="shared" si="4"/>
        <v>59.35</v>
      </c>
    </row>
    <row r="34" ht="24.0" customHeight="1">
      <c r="A34" s="12" t="s">
        <v>120</v>
      </c>
      <c r="B34" s="12" t="s">
        <v>121</v>
      </c>
      <c r="C34" s="12" t="s">
        <v>122</v>
      </c>
      <c r="D34" s="13">
        <f>iferror(sumif(E34:V34,"&lt;&gt;")/sumif(E34:V34,"&lt;&gt;",E3:V3),"")</f>
        <v>0.6207142857</v>
      </c>
      <c r="E34" s="12"/>
      <c r="F34" s="12"/>
      <c r="G34" s="12">
        <v>5.0</v>
      </c>
      <c r="H34" s="12">
        <v>5.0</v>
      </c>
      <c r="I34" s="12"/>
      <c r="J34" s="12">
        <v>90.0</v>
      </c>
      <c r="K34" s="12">
        <v>87.0</v>
      </c>
      <c r="L34" s="12">
        <v>30.0</v>
      </c>
      <c r="M34" s="12">
        <v>84.0</v>
      </c>
      <c r="N34" s="12">
        <v>95.0</v>
      </c>
      <c r="O34" s="12">
        <v>90.0</v>
      </c>
      <c r="P34" s="12">
        <v>98.0</v>
      </c>
      <c r="Q34" s="12">
        <v>100.0</v>
      </c>
      <c r="R34" s="12">
        <v>5.0</v>
      </c>
      <c r="S34" s="12">
        <v>42.0</v>
      </c>
      <c r="T34" s="12"/>
      <c r="U34" s="12">
        <v>85.0</v>
      </c>
      <c r="V34" s="12">
        <v>53.0</v>
      </c>
      <c r="W34" s="14">
        <f t="shared" si="2"/>
        <v>70.75</v>
      </c>
      <c r="X34" s="14">
        <f t="shared" si="3"/>
        <v>47.5</v>
      </c>
      <c r="Y34" s="14">
        <f t="shared" si="4"/>
        <v>62.15</v>
      </c>
    </row>
    <row r="35" ht="24.0" customHeight="1">
      <c r="A35" s="12" t="s">
        <v>123</v>
      </c>
      <c r="B35" s="12" t="s">
        <v>124</v>
      </c>
      <c r="C35" s="12" t="s">
        <v>125</v>
      </c>
      <c r="D35" s="13">
        <f>iferror(sumif(E35:V35,"&lt;&gt;")/sumif(E35:V35,"&lt;&gt;",E3:V3),"")</f>
        <v>0.35</v>
      </c>
      <c r="E35" s="12"/>
      <c r="F35" s="12"/>
      <c r="G35" s="12"/>
      <c r="H35" s="12"/>
      <c r="I35" s="12"/>
      <c r="J35" s="12">
        <v>70.0</v>
      </c>
      <c r="K35" s="12"/>
      <c r="L35" s="12">
        <v>0.0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4">
        <f t="shared" si="2"/>
        <v>0</v>
      </c>
      <c r="X35" s="14">
        <f t="shared" si="3"/>
        <v>0</v>
      </c>
      <c r="Y35" s="14">
        <f t="shared" si="4"/>
        <v>0</v>
      </c>
    </row>
    <row r="36" ht="24.0" customHeight="1">
      <c r="A36" s="12" t="s">
        <v>126</v>
      </c>
      <c r="B36" s="12" t="s">
        <v>127</v>
      </c>
      <c r="C36" s="12" t="s">
        <v>128</v>
      </c>
      <c r="D36" s="13">
        <f>iferror(sumif(E36:V36,"&lt;&gt;")/sumif(E36:V36,"&lt;&gt;",E3:V3),"")</f>
        <v>0.7515384615</v>
      </c>
      <c r="E36" s="12"/>
      <c r="F36" s="12"/>
      <c r="G36" s="12"/>
      <c r="H36" s="12"/>
      <c r="I36" s="12"/>
      <c r="J36" s="12">
        <v>98.0</v>
      </c>
      <c r="K36" s="12">
        <v>74.0</v>
      </c>
      <c r="L36" s="12">
        <v>30.0</v>
      </c>
      <c r="M36" s="12">
        <v>96.0</v>
      </c>
      <c r="N36" s="12">
        <v>100.0</v>
      </c>
      <c r="O36" s="12">
        <v>50.0</v>
      </c>
      <c r="P36" s="12">
        <v>95.0</v>
      </c>
      <c r="Q36" s="12">
        <v>99.0</v>
      </c>
      <c r="R36" s="12">
        <v>5.0</v>
      </c>
      <c r="S36" s="12">
        <v>70.0</v>
      </c>
      <c r="T36" s="12">
        <v>100.0</v>
      </c>
      <c r="U36" s="12">
        <v>100.0</v>
      </c>
      <c r="V36" s="12">
        <v>60.0</v>
      </c>
      <c r="W36" s="14">
        <f t="shared" si="2"/>
        <v>98.5</v>
      </c>
      <c r="X36" s="14">
        <f t="shared" si="3"/>
        <v>65</v>
      </c>
      <c r="Y36" s="14">
        <f t="shared" si="4"/>
        <v>76.7</v>
      </c>
    </row>
    <row r="37" ht="24.0" customHeight="1">
      <c r="A37" s="12" t="s">
        <v>129</v>
      </c>
      <c r="B37" s="12" t="s">
        <v>130</v>
      </c>
      <c r="C37" s="12" t="s">
        <v>131</v>
      </c>
      <c r="D37" s="13">
        <f>iferror(sumif(E37:V37,"&lt;&gt;")/sumif(E37:V37,"&lt;&gt;",E3:V3),"")</f>
        <v>0.1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v>0.0</v>
      </c>
      <c r="P37" s="12">
        <v>40.0</v>
      </c>
      <c r="Q37" s="12"/>
      <c r="R37" s="12"/>
      <c r="S37" s="12">
        <v>0.0</v>
      </c>
      <c r="T37" s="12"/>
      <c r="U37" s="12"/>
      <c r="V37" s="12">
        <v>0.0</v>
      </c>
      <c r="W37" s="14">
        <f t="shared" si="2"/>
        <v>10</v>
      </c>
      <c r="X37" s="14">
        <f t="shared" si="3"/>
        <v>0</v>
      </c>
      <c r="Y37" s="14">
        <f t="shared" si="4"/>
        <v>2</v>
      </c>
    </row>
    <row r="38" ht="24.0" customHeight="1">
      <c r="A38" s="12" t="s">
        <v>132</v>
      </c>
      <c r="B38" s="12" t="s">
        <v>133</v>
      </c>
      <c r="C38" s="12" t="s">
        <v>134</v>
      </c>
      <c r="D38" s="13">
        <f>iferror(sumif(E38:V38,"&lt;&gt;")/sumif(E38:V38,"&lt;&gt;",E3:V3),"")</f>
        <v>0.485</v>
      </c>
      <c r="E38" s="12"/>
      <c r="F38" s="12">
        <v>2.5</v>
      </c>
      <c r="G38" s="12"/>
      <c r="H38" s="12"/>
      <c r="I38" s="12"/>
      <c r="J38" s="12">
        <v>80.0</v>
      </c>
      <c r="K38" s="12">
        <v>65.0</v>
      </c>
      <c r="L38" s="12">
        <v>47.0</v>
      </c>
      <c r="M38" s="12">
        <v>50.0</v>
      </c>
      <c r="N38" s="12">
        <v>70.0</v>
      </c>
      <c r="O38" s="12">
        <v>19.0</v>
      </c>
      <c r="P38" s="12">
        <v>60.0</v>
      </c>
      <c r="Q38" s="12">
        <v>56.0</v>
      </c>
      <c r="R38" s="12"/>
      <c r="S38" s="12">
        <v>55.0</v>
      </c>
      <c r="T38" s="12">
        <v>24.0</v>
      </c>
      <c r="U38" s="12">
        <v>55.0</v>
      </c>
      <c r="V38" s="12">
        <v>47.0</v>
      </c>
      <c r="W38" s="14">
        <f t="shared" si="2"/>
        <v>48.75</v>
      </c>
      <c r="X38" s="14">
        <f t="shared" si="3"/>
        <v>51</v>
      </c>
      <c r="Y38" s="14">
        <f t="shared" si="4"/>
        <v>50.55</v>
      </c>
    </row>
    <row r="39" ht="24.0" customHeight="1">
      <c r="A39" s="12" t="s">
        <v>135</v>
      </c>
      <c r="B39" s="12" t="s">
        <v>136</v>
      </c>
      <c r="C39" s="12" t="s">
        <v>137</v>
      </c>
      <c r="D39" s="13">
        <f>iferror(sumif(E39:V39,"&lt;&gt;")/sumif(E39:V39,"&lt;&gt;",E3:V3),"")</f>
        <v>0.4983333333</v>
      </c>
      <c r="E39" s="12"/>
      <c r="F39" s="12"/>
      <c r="G39" s="12"/>
      <c r="H39" s="12"/>
      <c r="I39" s="12"/>
      <c r="J39" s="12">
        <v>90.0</v>
      </c>
      <c r="K39" s="12"/>
      <c r="L39" s="12">
        <v>52.0</v>
      </c>
      <c r="M39" s="12"/>
      <c r="N39" s="12"/>
      <c r="O39" s="12">
        <v>55.0</v>
      </c>
      <c r="P39" s="12"/>
      <c r="Q39" s="12">
        <v>45.0</v>
      </c>
      <c r="R39" s="12"/>
      <c r="S39" s="12">
        <v>27.0</v>
      </c>
      <c r="T39" s="12"/>
      <c r="U39" s="12"/>
      <c r="V39" s="12">
        <v>30.0</v>
      </c>
      <c r="W39" s="14">
        <f t="shared" si="2"/>
        <v>11.25</v>
      </c>
      <c r="X39" s="14">
        <f t="shared" si="3"/>
        <v>28.5</v>
      </c>
      <c r="Y39" s="14">
        <f t="shared" si="4"/>
        <v>25.05</v>
      </c>
    </row>
    <row r="40" ht="24.0" customHeight="1">
      <c r="A40" s="12" t="s">
        <v>138</v>
      </c>
      <c r="B40" s="12" t="s">
        <v>139</v>
      </c>
      <c r="C40" s="12" t="s">
        <v>140</v>
      </c>
      <c r="D40" s="13" t="str">
        <f>iferror(sumif(E40:V40,"&lt;&gt;")/sumif(E40:V40,"&lt;&gt;",E3:V3),"")</f>
        <v/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4">
        <f t="shared" si="2"/>
        <v>0</v>
      </c>
      <c r="X40" s="14">
        <f t="shared" si="3"/>
        <v>0</v>
      </c>
      <c r="Y40" s="14">
        <f t="shared" si="4"/>
        <v>0</v>
      </c>
    </row>
    <row r="41" ht="24.0" customHeight="1">
      <c r="A41" s="12" t="s">
        <v>141</v>
      </c>
      <c r="B41" s="12" t="s">
        <v>142</v>
      </c>
      <c r="C41" s="12" t="s">
        <v>143</v>
      </c>
      <c r="D41" s="13">
        <f>iferror(sumif(E41:V41,"&lt;&gt;")/sumif(E41:V41,"&lt;&gt;",E3:V3),"")</f>
        <v>0.025</v>
      </c>
      <c r="E41" s="12"/>
      <c r="F41" s="12"/>
      <c r="G41" s="12"/>
      <c r="H41" s="12"/>
      <c r="I41" s="12"/>
      <c r="J41" s="12"/>
      <c r="K41" s="12"/>
      <c r="L41" s="12">
        <v>5.0</v>
      </c>
      <c r="M41" s="12"/>
      <c r="N41" s="12"/>
      <c r="O41" s="12">
        <v>0.0</v>
      </c>
      <c r="P41" s="12"/>
      <c r="Q41" s="12"/>
      <c r="R41" s="12"/>
      <c r="S41" s="12"/>
      <c r="T41" s="12"/>
      <c r="U41" s="12"/>
      <c r="V41" s="12"/>
      <c r="W41" s="14">
        <f t="shared" si="2"/>
        <v>0</v>
      </c>
      <c r="X41" s="14">
        <f t="shared" si="3"/>
        <v>0</v>
      </c>
      <c r="Y41" s="14">
        <f t="shared" si="4"/>
        <v>0</v>
      </c>
    </row>
    <row r="42" ht="24.0" customHeight="1">
      <c r="A42" s="12" t="s">
        <v>144</v>
      </c>
      <c r="B42" s="12" t="s">
        <v>145</v>
      </c>
      <c r="C42" s="12" t="s">
        <v>146</v>
      </c>
      <c r="D42" s="13" t="str">
        <f>iferror(sumif(E42:V42,"&lt;&gt;")/sumif(E42:V42,"&lt;&gt;",E3:V3),"")</f>
        <v/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4">
        <f t="shared" si="2"/>
        <v>0</v>
      </c>
      <c r="X42" s="14">
        <f t="shared" si="3"/>
        <v>0</v>
      </c>
      <c r="Y42" s="14">
        <f t="shared" si="4"/>
        <v>0</v>
      </c>
    </row>
    <row r="43" ht="24.0" customHeight="1">
      <c r="A43" s="12" t="s">
        <v>147</v>
      </c>
      <c r="B43" s="12" t="s">
        <v>148</v>
      </c>
      <c r="C43" s="12" t="s">
        <v>149</v>
      </c>
      <c r="D43" s="13">
        <f>iferror(sumif(E43:V43,"&lt;&gt;")/sumif(E43:V43,"&lt;&gt;",E3:V3),"")</f>
        <v>0.6092857143</v>
      </c>
      <c r="E43" s="12"/>
      <c r="F43" s="12">
        <v>5.0</v>
      </c>
      <c r="G43" s="12">
        <v>5.0</v>
      </c>
      <c r="H43" s="12"/>
      <c r="I43" s="12"/>
      <c r="J43" s="12">
        <v>100.0</v>
      </c>
      <c r="K43" s="12">
        <v>87.0</v>
      </c>
      <c r="L43" s="12">
        <v>37.0</v>
      </c>
      <c r="M43" s="12">
        <v>44.0</v>
      </c>
      <c r="N43" s="12">
        <v>100.0</v>
      </c>
      <c r="O43" s="12">
        <v>80.0</v>
      </c>
      <c r="P43" s="12">
        <v>95.0</v>
      </c>
      <c r="Q43" s="12">
        <v>70.0</v>
      </c>
      <c r="R43" s="12"/>
      <c r="S43" s="12">
        <v>47.0</v>
      </c>
      <c r="T43" s="12">
        <v>83.0</v>
      </c>
      <c r="U43" s="12">
        <v>80.0</v>
      </c>
      <c r="V43" s="12">
        <v>20.0</v>
      </c>
      <c r="W43" s="14">
        <f t="shared" si="2"/>
        <v>82</v>
      </c>
      <c r="X43" s="14">
        <f t="shared" si="3"/>
        <v>33.5</v>
      </c>
      <c r="Y43" s="14">
        <f t="shared" si="4"/>
        <v>43.2</v>
      </c>
    </row>
    <row r="44" ht="24.0" customHeight="1">
      <c r="A44" s="12" t="s">
        <v>150</v>
      </c>
      <c r="B44" s="12" t="s">
        <v>151</v>
      </c>
      <c r="C44" s="12" t="s">
        <v>152</v>
      </c>
      <c r="D44" s="13" t="str">
        <f>iferror(sumif(E44:V44,"&lt;&gt;")/sumif(E44:V44,"&lt;&gt;",E3:V3),"")</f>
        <v/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4">
        <f t="shared" si="2"/>
        <v>0</v>
      </c>
      <c r="X44" s="14">
        <f t="shared" si="3"/>
        <v>0</v>
      </c>
      <c r="Y44" s="14">
        <f t="shared" si="4"/>
        <v>0</v>
      </c>
    </row>
    <row r="45" ht="24.0" customHeight="1">
      <c r="A45" s="12" t="s">
        <v>153</v>
      </c>
      <c r="B45" s="12" t="s">
        <v>154</v>
      </c>
      <c r="C45" s="12" t="s">
        <v>155</v>
      </c>
      <c r="D45" s="13">
        <f>iferror(sumif(E45:V45,"&lt;&gt;")/sumif(E45:V45,"&lt;&gt;",E3:V3),"")</f>
        <v>0.704</v>
      </c>
      <c r="E45" s="12"/>
      <c r="F45" s="12">
        <v>5.0</v>
      </c>
      <c r="G45" s="12">
        <v>5.0</v>
      </c>
      <c r="H45" s="12"/>
      <c r="I45" s="12"/>
      <c r="J45" s="12">
        <v>100.0</v>
      </c>
      <c r="K45" s="12">
        <v>73.0</v>
      </c>
      <c r="L45" s="12">
        <v>72.0</v>
      </c>
      <c r="M45" s="12">
        <v>97.0</v>
      </c>
      <c r="N45" s="12">
        <v>100.0</v>
      </c>
      <c r="O45" s="12">
        <v>75.0</v>
      </c>
      <c r="P45" s="12">
        <v>100.0</v>
      </c>
      <c r="Q45" s="12">
        <v>98.0</v>
      </c>
      <c r="R45" s="12">
        <v>5.0</v>
      </c>
      <c r="S45" s="12">
        <v>76.0</v>
      </c>
      <c r="T45" s="12">
        <v>100.0</v>
      </c>
      <c r="U45" s="12">
        <v>100.0</v>
      </c>
      <c r="V45" s="12">
        <v>50.0</v>
      </c>
      <c r="W45" s="14">
        <f t="shared" si="2"/>
        <v>99.5</v>
      </c>
      <c r="X45" s="14">
        <f t="shared" si="3"/>
        <v>63</v>
      </c>
      <c r="Y45" s="14">
        <f t="shared" si="4"/>
        <v>75.3</v>
      </c>
    </row>
    <row r="46" ht="24.0" customHeight="1">
      <c r="A46" s="12" t="s">
        <v>156</v>
      </c>
      <c r="B46" s="12" t="s">
        <v>157</v>
      </c>
      <c r="C46" s="12" t="s">
        <v>158</v>
      </c>
      <c r="D46" s="13">
        <f>iferror(sumif(E46:V46,"&lt;&gt;")/sumif(E46:V46,"&lt;&gt;",E3:V3),"")</f>
        <v>0.2925</v>
      </c>
      <c r="E46" s="12"/>
      <c r="F46" s="12"/>
      <c r="G46" s="12"/>
      <c r="H46" s="12"/>
      <c r="I46" s="12"/>
      <c r="J46" s="12"/>
      <c r="K46" s="12"/>
      <c r="L46" s="12">
        <v>20.0</v>
      </c>
      <c r="M46" s="12"/>
      <c r="N46" s="12"/>
      <c r="O46" s="12">
        <v>37.0</v>
      </c>
      <c r="P46" s="12"/>
      <c r="Q46" s="12"/>
      <c r="R46" s="12"/>
      <c r="S46" s="12">
        <v>30.0</v>
      </c>
      <c r="T46" s="12"/>
      <c r="U46" s="12"/>
      <c r="V46" s="12">
        <v>30.0</v>
      </c>
      <c r="W46" s="14">
        <f t="shared" si="2"/>
        <v>0</v>
      </c>
      <c r="X46" s="14">
        <f t="shared" si="3"/>
        <v>30</v>
      </c>
      <c r="Y46" s="14">
        <f t="shared" si="4"/>
        <v>24</v>
      </c>
    </row>
    <row r="47" ht="24.0" customHeight="1">
      <c r="A47" s="12" t="s">
        <v>159</v>
      </c>
      <c r="B47" s="12" t="s">
        <v>157</v>
      </c>
      <c r="C47" s="12" t="s">
        <v>160</v>
      </c>
      <c r="D47" s="13">
        <f>iferror(sumif(E47:V47,"&lt;&gt;")/sumif(E47:V47,"&lt;&gt;",E3:V3),"")</f>
        <v>0.05</v>
      </c>
      <c r="E47" s="12"/>
      <c r="F47" s="12"/>
      <c r="G47" s="12"/>
      <c r="H47" s="12"/>
      <c r="I47" s="12"/>
      <c r="J47" s="12"/>
      <c r="K47" s="12"/>
      <c r="L47" s="12">
        <v>10.0</v>
      </c>
      <c r="M47" s="12"/>
      <c r="N47" s="12"/>
      <c r="O47" s="12">
        <v>0.0</v>
      </c>
      <c r="P47" s="12"/>
      <c r="Q47" s="12"/>
      <c r="R47" s="12"/>
      <c r="S47" s="12"/>
      <c r="T47" s="12"/>
      <c r="U47" s="12"/>
      <c r="V47" s="12"/>
      <c r="W47" s="14">
        <f t="shared" si="2"/>
        <v>0</v>
      </c>
      <c r="X47" s="14">
        <f t="shared" si="3"/>
        <v>0</v>
      </c>
      <c r="Y47" s="14">
        <f t="shared" si="4"/>
        <v>0</v>
      </c>
    </row>
    <row r="48" ht="24.0" customHeight="1">
      <c r="A48" s="12" t="s">
        <v>161</v>
      </c>
      <c r="B48" s="12" t="s">
        <v>162</v>
      </c>
      <c r="C48" s="12" t="s">
        <v>163</v>
      </c>
      <c r="D48" s="13">
        <f>iferror(sumif(E48:V48,"&lt;&gt;")/sumif(E48:V48,"&lt;&gt;",E3:V3),"")</f>
        <v>0.375</v>
      </c>
      <c r="E48" s="12"/>
      <c r="F48" s="12"/>
      <c r="G48" s="12"/>
      <c r="H48" s="12"/>
      <c r="I48" s="12"/>
      <c r="J48" s="12"/>
      <c r="K48" s="12"/>
      <c r="L48" s="12">
        <v>43.0</v>
      </c>
      <c r="M48" s="12">
        <v>77.0</v>
      </c>
      <c r="N48" s="12">
        <v>40.0</v>
      </c>
      <c r="O48" s="12">
        <v>5.0</v>
      </c>
      <c r="P48" s="12"/>
      <c r="Q48" s="12"/>
      <c r="R48" s="12"/>
      <c r="S48" s="12">
        <v>60.0</v>
      </c>
      <c r="T48" s="12"/>
      <c r="U48" s="12"/>
      <c r="V48" s="12">
        <v>0.0</v>
      </c>
      <c r="W48" s="14">
        <f t="shared" si="2"/>
        <v>0</v>
      </c>
      <c r="X48" s="14">
        <f t="shared" si="3"/>
        <v>30</v>
      </c>
      <c r="Y48" s="14">
        <f t="shared" si="4"/>
        <v>24</v>
      </c>
    </row>
    <row r="49" ht="24.0" customHeight="1">
      <c r="A49" s="12" t="s">
        <v>164</v>
      </c>
      <c r="B49" s="12" t="s">
        <v>165</v>
      </c>
      <c r="C49" s="12" t="s">
        <v>166</v>
      </c>
      <c r="D49" s="13">
        <f>iferror(sumif(E49:V49,"&lt;&gt;")/sumif(E49:V49,"&lt;&gt;",E3:V3),"")</f>
        <v>0.525</v>
      </c>
      <c r="E49" s="12"/>
      <c r="F49" s="12">
        <v>5.0</v>
      </c>
      <c r="G49" s="12"/>
      <c r="H49" s="12"/>
      <c r="I49" s="12"/>
      <c r="J49" s="12"/>
      <c r="K49" s="12">
        <v>77.0</v>
      </c>
      <c r="L49" s="12">
        <v>43.0</v>
      </c>
      <c r="M49" s="12">
        <v>100.0</v>
      </c>
      <c r="N49" s="12"/>
      <c r="O49" s="12">
        <v>0.0</v>
      </c>
      <c r="P49" s="12">
        <v>90.0</v>
      </c>
      <c r="Q49" s="12"/>
      <c r="R49" s="12"/>
      <c r="S49" s="12"/>
      <c r="T49" s="12"/>
      <c r="U49" s="12"/>
      <c r="V49" s="12"/>
      <c r="W49" s="14">
        <f t="shared" si="2"/>
        <v>22.5</v>
      </c>
      <c r="X49" s="14">
        <f t="shared" si="3"/>
        <v>0</v>
      </c>
      <c r="Y49" s="14">
        <f t="shared" si="4"/>
        <v>4.5</v>
      </c>
    </row>
    <row r="50" ht="24.0" customHeight="1">
      <c r="A50" s="12" t="s">
        <v>167</v>
      </c>
      <c r="B50" s="12" t="s">
        <v>168</v>
      </c>
      <c r="C50" s="12" t="s">
        <v>169</v>
      </c>
      <c r="D50" s="13">
        <f>iferror(sumif(E50:V50,"&lt;&gt;")/sumif(E50:V50,"&lt;&gt;",E3:V3),"")</f>
        <v>0.2716666667</v>
      </c>
      <c r="E50" s="12"/>
      <c r="F50" s="12"/>
      <c r="G50" s="12">
        <v>5.0</v>
      </c>
      <c r="H50" s="12"/>
      <c r="I50" s="12"/>
      <c r="J50" s="12"/>
      <c r="K50" s="12"/>
      <c r="L50" s="12">
        <v>43.0</v>
      </c>
      <c r="M50" s="12"/>
      <c r="N50" s="12">
        <v>64.0</v>
      </c>
      <c r="O50" s="12">
        <v>51.0</v>
      </c>
      <c r="P50" s="12"/>
      <c r="Q50" s="12"/>
      <c r="R50" s="12"/>
      <c r="S50" s="12">
        <v>0.0</v>
      </c>
      <c r="T50" s="12"/>
      <c r="U50" s="12"/>
      <c r="V50" s="12">
        <v>0.0</v>
      </c>
      <c r="W50" s="14">
        <f t="shared" si="2"/>
        <v>0</v>
      </c>
      <c r="X50" s="14">
        <f t="shared" si="3"/>
        <v>0</v>
      </c>
      <c r="Y50" s="14">
        <f t="shared" si="4"/>
        <v>0</v>
      </c>
    </row>
    <row r="51" ht="24.0" customHeight="1">
      <c r="A51" s="12" t="s">
        <v>170</v>
      </c>
      <c r="B51" s="12" t="s">
        <v>171</v>
      </c>
      <c r="C51" s="12" t="s">
        <v>172</v>
      </c>
      <c r="D51" s="13">
        <f>iferror(sumif(E51:V51,"&lt;&gt;")/sumif(E51:V51,"&lt;&gt;",E3:V3),"")</f>
        <v>0</v>
      </c>
      <c r="E51" s="12"/>
      <c r="F51" s="12"/>
      <c r="G51" s="12"/>
      <c r="H51" s="12"/>
      <c r="I51" s="12"/>
      <c r="J51" s="12"/>
      <c r="K51" s="12"/>
      <c r="L51" s="12">
        <v>0.0</v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4">
        <f t="shared" si="2"/>
        <v>0</v>
      </c>
      <c r="X51" s="14">
        <f t="shared" si="3"/>
        <v>0</v>
      </c>
      <c r="Y51" s="14">
        <f t="shared" si="4"/>
        <v>0</v>
      </c>
    </row>
    <row r="52" ht="24.0" customHeight="1">
      <c r="A52" s="12" t="s">
        <v>173</v>
      </c>
      <c r="B52" s="12" t="s">
        <v>174</v>
      </c>
      <c r="C52" s="12" t="s">
        <v>175</v>
      </c>
      <c r="D52" s="13">
        <f>iferror(sumif(E52:V52,"&lt;&gt;")/sumif(E52:V52,"&lt;&gt;",E3:V3),"")</f>
        <v>0.07</v>
      </c>
      <c r="E52" s="12"/>
      <c r="F52" s="12"/>
      <c r="G52" s="12"/>
      <c r="H52" s="12"/>
      <c r="I52" s="12"/>
      <c r="J52" s="12"/>
      <c r="K52" s="12"/>
      <c r="L52" s="12">
        <v>7.0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4">
        <f t="shared" si="2"/>
        <v>0</v>
      </c>
      <c r="X52" s="14">
        <f t="shared" si="3"/>
        <v>0</v>
      </c>
      <c r="Y52" s="14">
        <f t="shared" si="4"/>
        <v>0</v>
      </c>
    </row>
    <row r="53" ht="24.0" customHeight="1">
      <c r="A53" s="12" t="s">
        <v>176</v>
      </c>
      <c r="B53" s="12" t="s">
        <v>177</v>
      </c>
      <c r="C53" s="12" t="s">
        <v>178</v>
      </c>
      <c r="D53" s="13">
        <f>iferror(sumif(E53:V53,"&lt;&gt;")/sumif(E53:V53,"&lt;&gt;",E3:V3),"")</f>
        <v>0.534</v>
      </c>
      <c r="E53" s="12"/>
      <c r="F53" s="12"/>
      <c r="G53" s="12"/>
      <c r="H53" s="12"/>
      <c r="I53" s="12"/>
      <c r="J53" s="12"/>
      <c r="K53" s="12"/>
      <c r="L53" s="12">
        <v>47.0</v>
      </c>
      <c r="M53" s="12"/>
      <c r="N53" s="12"/>
      <c r="O53" s="12">
        <v>53.0</v>
      </c>
      <c r="P53" s="12">
        <v>100.0</v>
      </c>
      <c r="Q53" s="12">
        <v>57.0</v>
      </c>
      <c r="R53" s="12"/>
      <c r="S53" s="12">
        <v>10.0</v>
      </c>
      <c r="T53" s="12"/>
      <c r="U53" s="12"/>
      <c r="V53" s="12"/>
      <c r="W53" s="14">
        <f t="shared" si="2"/>
        <v>39.25</v>
      </c>
      <c r="X53" s="14">
        <f t="shared" si="3"/>
        <v>5</v>
      </c>
      <c r="Y53" s="14">
        <f t="shared" si="4"/>
        <v>11.85</v>
      </c>
    </row>
    <row r="54" ht="24.0" customHeight="1">
      <c r="A54" s="12" t="s">
        <v>179</v>
      </c>
      <c r="B54" s="12" t="s">
        <v>180</v>
      </c>
      <c r="C54" s="12" t="s">
        <v>181</v>
      </c>
      <c r="D54" s="13" t="str">
        <f>iferror(sumif(E54:V54,"&lt;&gt;")/sumif(E54:V54,"&lt;&gt;",E3:V3),"")</f>
        <v/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4">
        <f t="shared" si="2"/>
        <v>0</v>
      </c>
      <c r="X54" s="14">
        <f t="shared" si="3"/>
        <v>0</v>
      </c>
      <c r="Y54" s="14">
        <f t="shared" si="4"/>
        <v>0</v>
      </c>
    </row>
    <row r="55" ht="24.0" customHeight="1">
      <c r="A55" s="12" t="s">
        <v>182</v>
      </c>
      <c r="B55" s="12" t="s">
        <v>183</v>
      </c>
      <c r="C55" s="12" t="s">
        <v>184</v>
      </c>
      <c r="D55" s="13">
        <f>iferror(sumif(E55:V55,"&lt;&gt;")/sumif(E55:V55,"&lt;&gt;",E3:V3),"")</f>
        <v>0.6281818182</v>
      </c>
      <c r="E55" s="12"/>
      <c r="F55" s="12"/>
      <c r="G55" s="12"/>
      <c r="H55" s="12"/>
      <c r="I55" s="12"/>
      <c r="J55" s="12">
        <v>90.0</v>
      </c>
      <c r="K55" s="12"/>
      <c r="L55" s="12">
        <v>50.0</v>
      </c>
      <c r="M55" s="12">
        <v>47.0</v>
      </c>
      <c r="N55" s="12">
        <v>83.0</v>
      </c>
      <c r="O55" s="12">
        <v>77.0</v>
      </c>
      <c r="P55" s="12">
        <v>95.0</v>
      </c>
      <c r="Q55" s="12">
        <v>41.0</v>
      </c>
      <c r="R55" s="12"/>
      <c r="S55" s="12">
        <v>55.0</v>
      </c>
      <c r="T55" s="12">
        <v>53.0</v>
      </c>
      <c r="U55" s="12">
        <v>50.0</v>
      </c>
      <c r="V55" s="12">
        <v>50.0</v>
      </c>
      <c r="W55" s="14">
        <f t="shared" si="2"/>
        <v>59.75</v>
      </c>
      <c r="X55" s="14">
        <f t="shared" si="3"/>
        <v>52.5</v>
      </c>
      <c r="Y55" s="14">
        <f t="shared" si="4"/>
        <v>53.95</v>
      </c>
    </row>
    <row r="56" ht="24.0" customHeight="1">
      <c r="A56" s="12" t="s">
        <v>185</v>
      </c>
      <c r="B56" s="12" t="s">
        <v>186</v>
      </c>
      <c r="C56" s="12" t="s">
        <v>187</v>
      </c>
      <c r="D56" s="13">
        <f>iferror(sumif(E56:V56,"&lt;&gt;")/sumif(E56:V56,"&lt;&gt;",E3:V3),"")</f>
        <v>0.71</v>
      </c>
      <c r="E56" s="12"/>
      <c r="F56" s="12"/>
      <c r="G56" s="12">
        <v>5.0</v>
      </c>
      <c r="H56" s="12">
        <v>5.0</v>
      </c>
      <c r="I56" s="12"/>
      <c r="J56" s="12">
        <v>80.0</v>
      </c>
      <c r="K56" s="12">
        <v>77.0</v>
      </c>
      <c r="L56" s="12">
        <v>72.0</v>
      </c>
      <c r="M56" s="12">
        <v>78.0</v>
      </c>
      <c r="N56" s="12">
        <v>100.0</v>
      </c>
      <c r="O56" s="12">
        <v>100.0</v>
      </c>
      <c r="P56" s="12">
        <v>100.0</v>
      </c>
      <c r="Q56" s="12">
        <v>98.0</v>
      </c>
      <c r="R56" s="12">
        <v>5.0</v>
      </c>
      <c r="S56" s="12">
        <v>87.0</v>
      </c>
      <c r="T56" s="12">
        <v>100.0</v>
      </c>
      <c r="U56" s="12">
        <v>95.0</v>
      </c>
      <c r="V56" s="12">
        <v>63.0</v>
      </c>
      <c r="W56" s="14">
        <f t="shared" si="2"/>
        <v>98.25</v>
      </c>
      <c r="X56" s="14">
        <f t="shared" si="3"/>
        <v>75</v>
      </c>
      <c r="Y56" s="14">
        <f t="shared" si="4"/>
        <v>89.65</v>
      </c>
    </row>
    <row r="57" ht="24.0" customHeight="1">
      <c r="A57" s="12" t="s">
        <v>188</v>
      </c>
      <c r="B57" s="12" t="s">
        <v>189</v>
      </c>
      <c r="C57" s="12" t="s">
        <v>190</v>
      </c>
      <c r="D57" s="13">
        <f>iferror(sumif(E57:V57,"&lt;&gt;")/sumif(E57:V57,"&lt;&gt;",E3:V3),"")</f>
        <v>0.37625</v>
      </c>
      <c r="E57" s="12"/>
      <c r="F57" s="12"/>
      <c r="G57" s="12">
        <v>5.0</v>
      </c>
      <c r="H57" s="12"/>
      <c r="I57" s="12"/>
      <c r="J57" s="12"/>
      <c r="K57" s="12"/>
      <c r="L57" s="12">
        <v>30.0</v>
      </c>
      <c r="M57" s="12">
        <v>66.0</v>
      </c>
      <c r="N57" s="12">
        <v>47.0</v>
      </c>
      <c r="O57" s="12">
        <v>30.0</v>
      </c>
      <c r="P57" s="12"/>
      <c r="Q57" s="12">
        <v>73.0</v>
      </c>
      <c r="R57" s="12"/>
      <c r="S57" s="12">
        <v>38.0</v>
      </c>
      <c r="T57" s="12"/>
      <c r="U57" s="12"/>
      <c r="V57" s="12">
        <v>12.0</v>
      </c>
      <c r="W57" s="14">
        <f t="shared" si="2"/>
        <v>18.25</v>
      </c>
      <c r="X57" s="14">
        <f t="shared" si="3"/>
        <v>25</v>
      </c>
      <c r="Y57" s="14">
        <f t="shared" si="4"/>
        <v>23.65</v>
      </c>
    </row>
    <row r="58" ht="24.0" customHeight="1">
      <c r="A58" s="12" t="s">
        <v>191</v>
      </c>
      <c r="B58" s="12" t="s">
        <v>192</v>
      </c>
      <c r="C58" s="12" t="s">
        <v>193</v>
      </c>
      <c r="D58" s="13">
        <f>iferror(sumif(E58:V58,"&lt;&gt;")/sumif(E58:V58,"&lt;&gt;",E3:V3),"")</f>
        <v>0.7507692308</v>
      </c>
      <c r="E58" s="12"/>
      <c r="F58" s="12">
        <v>5.0</v>
      </c>
      <c r="G58" s="12"/>
      <c r="H58" s="12"/>
      <c r="I58" s="12"/>
      <c r="J58" s="12">
        <v>85.0</v>
      </c>
      <c r="K58" s="12">
        <v>89.0</v>
      </c>
      <c r="L58" s="12">
        <v>43.0</v>
      </c>
      <c r="M58" s="12">
        <v>100.0</v>
      </c>
      <c r="N58" s="12">
        <v>95.0</v>
      </c>
      <c r="O58" s="12">
        <v>67.0</v>
      </c>
      <c r="P58" s="12">
        <v>85.0</v>
      </c>
      <c r="Q58" s="12">
        <v>89.0</v>
      </c>
      <c r="R58" s="12"/>
      <c r="S58" s="12">
        <v>74.0</v>
      </c>
      <c r="T58" s="12">
        <v>94.0</v>
      </c>
      <c r="U58" s="12">
        <v>100.0</v>
      </c>
      <c r="V58" s="12">
        <v>50.0</v>
      </c>
      <c r="W58" s="14">
        <f t="shared" si="2"/>
        <v>92</v>
      </c>
      <c r="X58" s="14">
        <f t="shared" si="3"/>
        <v>62</v>
      </c>
      <c r="Y58" s="14">
        <f t="shared" si="4"/>
        <v>68</v>
      </c>
    </row>
    <row r="59" ht="24.0" customHeight="1">
      <c r="A59" s="12" t="s">
        <v>194</v>
      </c>
      <c r="B59" s="12" t="s">
        <v>195</v>
      </c>
      <c r="C59" s="12" t="s">
        <v>196</v>
      </c>
      <c r="D59" s="13">
        <f>iferror(sumif(E59:V59,"&lt;&gt;")/sumif(E59:V59,"&lt;&gt;",E3:V3),"")</f>
        <v>0.2075</v>
      </c>
      <c r="E59" s="12"/>
      <c r="F59" s="12"/>
      <c r="G59" s="12"/>
      <c r="H59" s="12"/>
      <c r="I59" s="12"/>
      <c r="J59" s="12"/>
      <c r="K59" s="12">
        <v>63.0</v>
      </c>
      <c r="L59" s="12">
        <v>20.0</v>
      </c>
      <c r="M59" s="12"/>
      <c r="N59" s="12"/>
      <c r="O59" s="12">
        <v>0.0</v>
      </c>
      <c r="P59" s="12"/>
      <c r="Q59" s="12"/>
      <c r="R59" s="12"/>
      <c r="S59" s="12">
        <v>0.0</v>
      </c>
      <c r="T59" s="12"/>
      <c r="U59" s="12"/>
      <c r="V59" s="12"/>
      <c r="W59" s="14">
        <f t="shared" si="2"/>
        <v>0</v>
      </c>
      <c r="X59" s="14">
        <f t="shared" si="3"/>
        <v>0</v>
      </c>
      <c r="Y59" s="14">
        <f t="shared" si="4"/>
        <v>0</v>
      </c>
    </row>
    <row r="60" ht="24.0" customHeight="1">
      <c r="A60" s="12" t="s">
        <v>197</v>
      </c>
      <c r="B60" s="12" t="s">
        <v>198</v>
      </c>
      <c r="C60" s="12" t="s">
        <v>199</v>
      </c>
      <c r="D60" s="13">
        <f>iferror(sumif(E60:V60,"&lt;&gt;")/sumif(E60:V60,"&lt;&gt;",E3:V3),"")</f>
        <v>0.415</v>
      </c>
      <c r="E60" s="12"/>
      <c r="F60" s="12">
        <v>2.5</v>
      </c>
      <c r="G60" s="12"/>
      <c r="H60" s="12"/>
      <c r="I60" s="12"/>
      <c r="J60" s="12">
        <v>25.0</v>
      </c>
      <c r="K60" s="12">
        <v>20.0</v>
      </c>
      <c r="L60" s="12">
        <v>48.0</v>
      </c>
      <c r="M60" s="12"/>
      <c r="N60" s="12"/>
      <c r="O60" s="12">
        <v>52.0</v>
      </c>
      <c r="P60" s="12">
        <v>83.0</v>
      </c>
      <c r="Q60" s="12"/>
      <c r="R60" s="12"/>
      <c r="S60" s="12">
        <v>37.0</v>
      </c>
      <c r="T60" s="12">
        <v>54.0</v>
      </c>
      <c r="U60" s="12"/>
      <c r="V60" s="12">
        <v>52.0</v>
      </c>
      <c r="W60" s="14">
        <f t="shared" si="2"/>
        <v>34.25</v>
      </c>
      <c r="X60" s="14">
        <f t="shared" si="3"/>
        <v>44.5</v>
      </c>
      <c r="Y60" s="14">
        <f t="shared" si="4"/>
        <v>42.45</v>
      </c>
    </row>
    <row r="61" ht="24.0" customHeight="1">
      <c r="A61" s="12" t="s">
        <v>200</v>
      </c>
      <c r="B61" s="12" t="s">
        <v>201</v>
      </c>
      <c r="C61" s="12" t="s">
        <v>202</v>
      </c>
      <c r="D61" s="13">
        <f>iferror(sumif(E61:V61,"&lt;&gt;")/sumif(E61:V61,"&lt;&gt;",E3:V3),"")</f>
        <v>0.6122222222</v>
      </c>
      <c r="E61" s="12"/>
      <c r="F61" s="12"/>
      <c r="G61" s="12">
        <v>5.0</v>
      </c>
      <c r="H61" s="12"/>
      <c r="I61" s="12"/>
      <c r="J61" s="12">
        <v>87.0</v>
      </c>
      <c r="K61" s="12">
        <v>64.0</v>
      </c>
      <c r="L61" s="12">
        <v>72.0</v>
      </c>
      <c r="M61" s="12">
        <v>52.0</v>
      </c>
      <c r="N61" s="12">
        <v>91.0</v>
      </c>
      <c r="O61" s="12">
        <v>90.0</v>
      </c>
      <c r="P61" s="12"/>
      <c r="Q61" s="12"/>
      <c r="R61" s="12"/>
      <c r="S61" s="12">
        <v>45.0</v>
      </c>
      <c r="T61" s="12"/>
      <c r="U61" s="12"/>
      <c r="V61" s="12">
        <v>45.0</v>
      </c>
      <c r="W61" s="14">
        <f t="shared" si="2"/>
        <v>0</v>
      </c>
      <c r="X61" s="14">
        <f t="shared" si="3"/>
        <v>45</v>
      </c>
      <c r="Y61" s="14">
        <f t="shared" si="4"/>
        <v>36</v>
      </c>
    </row>
    <row r="62" ht="24.0" customHeight="1">
      <c r="A62" s="12" t="s">
        <v>203</v>
      </c>
      <c r="B62" s="12" t="s">
        <v>204</v>
      </c>
      <c r="C62" s="12" t="s">
        <v>205</v>
      </c>
      <c r="D62" s="13">
        <f>iferror(sumif(E62:V62,"&lt;&gt;")/sumif(E62:V62,"&lt;&gt;",E3:V3),"")</f>
        <v>0.6630769231</v>
      </c>
      <c r="E62" s="12"/>
      <c r="F62" s="12"/>
      <c r="G62" s="12">
        <v>5.0</v>
      </c>
      <c r="H62" s="12"/>
      <c r="I62" s="12"/>
      <c r="J62" s="12">
        <v>90.0</v>
      </c>
      <c r="K62" s="12">
        <v>31.0</v>
      </c>
      <c r="L62" s="12">
        <v>30.0</v>
      </c>
      <c r="M62" s="12">
        <v>89.0</v>
      </c>
      <c r="N62" s="12">
        <v>87.0</v>
      </c>
      <c r="O62" s="12">
        <v>35.0</v>
      </c>
      <c r="P62" s="12">
        <v>95.0</v>
      </c>
      <c r="Q62" s="12">
        <v>95.0</v>
      </c>
      <c r="R62" s="12"/>
      <c r="S62" s="12">
        <v>50.0</v>
      </c>
      <c r="T62" s="12">
        <v>100.0</v>
      </c>
      <c r="U62" s="12">
        <v>100.0</v>
      </c>
      <c r="V62" s="12">
        <v>55.0</v>
      </c>
      <c r="W62" s="14">
        <f t="shared" si="2"/>
        <v>97.5</v>
      </c>
      <c r="X62" s="14">
        <f t="shared" si="3"/>
        <v>52.5</v>
      </c>
      <c r="Y62" s="14">
        <f t="shared" si="4"/>
        <v>61.5</v>
      </c>
    </row>
    <row r="63" ht="24.0" customHeight="1">
      <c r="A63" s="12" t="s">
        <v>206</v>
      </c>
      <c r="B63" s="12" t="s">
        <v>207</v>
      </c>
      <c r="C63" s="12" t="s">
        <v>208</v>
      </c>
      <c r="D63" s="13" t="str">
        <f>iferror(sumif(E63:V63,"&lt;&gt;")/sumif(E63:V63,"&lt;&gt;",E3:V3),"")</f>
        <v/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printOptions/>
  <pageMargins bottom="0.75" footer="0.0" header="0.0" left="0.7" right="0.7" top="0.75"/>
  <pageSetup orientation="landscape"/>
  <drawing r:id="rId1"/>
</worksheet>
</file>