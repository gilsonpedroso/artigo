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<sst xmlns="http://schemas.openxmlformats.org/spreadsheetml/2006/main" count="232" uniqueCount="182">
  <si>
    <t>cálculo 2-2024-2</t>
  </si>
  <si>
    <t/>
  </si>
  <si>
    <t>04 de fev.</t>
  </si>
  <si>
    <t>11 de fev.</t>
  </si>
  <si>
    <t>13 de fev.</t>
  </si>
  <si>
    <t>21 de fev.</t>
  </si>
  <si>
    <t>25 de fev.</t>
  </si>
  <si>
    <t>27 de fev.</t>
  </si>
  <si>
    <t>18 de mar.</t>
  </si>
  <si>
    <t>19 de mar.</t>
  </si>
  <si>
    <t>20 de mar.</t>
  </si>
  <si>
    <t>24 de mar.</t>
  </si>
  <si>
    <t>28 de mar.</t>
  </si>
  <si>
    <t>01 de abr.</t>
  </si>
  <si>
    <t>03 de abr.</t>
  </si>
  <si>
    <t>08 de abr.</t>
  </si>
  <si>
    <t>09 de abr.</t>
  </si>
  <si>
    <t>10 de abr.</t>
  </si>
  <si>
    <t>15 de abr.</t>
  </si>
  <si>
    <t>24 de abr.</t>
  </si>
  <si>
    <t>05 de mai.</t>
  </si>
  <si>
    <t>06 de mai.</t>
  </si>
  <si>
    <t>08 de mai.</t>
  </si>
  <si>
    <t>19 de mai.</t>
  </si>
  <si>
    <t>27 de mai.</t>
  </si>
  <si>
    <t>Q1</t>
  </si>
  <si>
    <t>Q2</t>
  </si>
  <si>
    <t>lista 1</t>
  </si>
  <si>
    <t>Q3</t>
  </si>
  <si>
    <t>lista 2</t>
  </si>
  <si>
    <t>Q4</t>
  </si>
  <si>
    <t>lista 3</t>
  </si>
  <si>
    <t>Q5</t>
  </si>
  <si>
    <t>Q6</t>
  </si>
  <si>
    <t>prova 1</t>
  </si>
  <si>
    <t>lista 4</t>
  </si>
  <si>
    <t>lista 5</t>
  </si>
  <si>
    <t>Q7</t>
  </si>
  <si>
    <t>Q8</t>
  </si>
  <si>
    <t>prova 2</t>
  </si>
  <si>
    <t>Q9</t>
  </si>
  <si>
    <t>Q10</t>
  </si>
  <si>
    <t>lista 6</t>
  </si>
  <si>
    <t>Q11</t>
  </si>
  <si>
    <t>lista 7</t>
  </si>
  <si>
    <t>Q12</t>
  </si>
  <si>
    <t>lista 8</t>
  </si>
  <si>
    <t>prova 3</t>
  </si>
  <si>
    <t>Q13</t>
  </si>
  <si>
    <t>lista9</t>
  </si>
  <si>
    <t>prova 4</t>
  </si>
  <si>
    <t>Média da turma</t>
  </si>
  <si>
    <t>lista</t>
  </si>
  <si>
    <t>extra nota</t>
  </si>
  <si>
    <t>prova</t>
  </si>
  <si>
    <t>ab2</t>
  </si>
  <si>
    <t>LETICIA NOBRE DA SILVA</t>
  </si>
  <si>
    <t xml:space="preserve">ANA </t>
  </si>
  <si>
    <t>alnds@ic.ufal.br</t>
  </si>
  <si>
    <t>VINICIUS FERNANDES DE CARVALHO</t>
  </si>
  <si>
    <t xml:space="preserve">ARTHUR </t>
  </si>
  <si>
    <t>avfc@ic.ufal.br</t>
  </si>
  <si>
    <t>Martires Soares</t>
  </si>
  <si>
    <t>Alison Bruno</t>
  </si>
  <si>
    <t>abms@ic.ufal.br</t>
  </si>
  <si>
    <t>Correia Nunes</t>
  </si>
  <si>
    <t>Arthur</t>
  </si>
  <si>
    <t>acn2@ic.ufal.br</t>
  </si>
  <si>
    <t>Arthur Vinicius Alves da Silva</t>
  </si>
  <si>
    <t>avas@ic.ufal.br</t>
  </si>
  <si>
    <t>DE JESUS CAVALCANTE</t>
  </si>
  <si>
    <t xml:space="preserve">CAIO DANIEL </t>
  </si>
  <si>
    <t>cdjc@ic.ufal.br</t>
  </si>
  <si>
    <t>Ferreira Veloso</t>
  </si>
  <si>
    <t>Daniel Leôncio</t>
  </si>
  <si>
    <t>dlfv@ic.ufal.br</t>
  </si>
  <si>
    <t>Oliveira Barbosa</t>
  </si>
  <si>
    <t>David Kelve</t>
  </si>
  <si>
    <t>dkob@ic.ufal.br</t>
  </si>
  <si>
    <t>VITORIA SANTANA ALVES</t>
  </si>
  <si>
    <t xml:space="preserve">EMILLY </t>
  </si>
  <si>
    <t>evsa@ic.ufal.br</t>
  </si>
  <si>
    <t>EMIDIO BELFORT DO REGO</t>
  </si>
  <si>
    <t xml:space="preserve">FERNANDO </t>
  </si>
  <si>
    <t>febr@ic.ufal.br</t>
  </si>
  <si>
    <t>Costa Bocardi</t>
  </si>
  <si>
    <t xml:space="preserve">Fabrizio </t>
  </si>
  <si>
    <t>fcb@ic.ufal.br</t>
  </si>
  <si>
    <t>Fortaleza Menezes</t>
  </si>
  <si>
    <t>Filipe</t>
  </si>
  <si>
    <t>ffm@ic.ufal.br</t>
  </si>
  <si>
    <t>da Silva Mendonça</t>
  </si>
  <si>
    <t>Flávio Alberto</t>
  </si>
  <si>
    <t>fasm@ic.ufal.br</t>
  </si>
  <si>
    <t>SOUZA MARQUES</t>
  </si>
  <si>
    <t xml:space="preserve">GABRIEL </t>
  </si>
  <si>
    <t>gsm@ic.ufal.br</t>
  </si>
  <si>
    <t>MARIA DANTAS CAVALCANTE</t>
  </si>
  <si>
    <t xml:space="preserve">GEOVANA </t>
  </si>
  <si>
    <t>gmdc@ic.ufal.br</t>
  </si>
  <si>
    <t>Fernandes</t>
  </si>
  <si>
    <t>Gabriel</t>
  </si>
  <si>
    <t>gab.fern4ndes@gmail.com</t>
  </si>
  <si>
    <t xml:space="preserve"> Alves Barbosa de Oliveira</t>
  </si>
  <si>
    <t>Giovanna</t>
  </si>
  <si>
    <t>gabo@ic.ufal.br</t>
  </si>
  <si>
    <t>Jesus</t>
  </si>
  <si>
    <t>Guilherme</t>
  </si>
  <si>
    <t>guilherme.jesus@ctec.ufal.br</t>
  </si>
  <si>
    <t>BARROS QUEIROZ NETO</t>
  </si>
  <si>
    <t xml:space="preserve">HUMBERTO </t>
  </si>
  <si>
    <t>hbqn@ic.ufal.br</t>
  </si>
  <si>
    <t>Djenonlo</t>
  </si>
  <si>
    <t>Isac</t>
  </si>
  <si>
    <t>isac.djenonlo@ctec.ufal.br</t>
  </si>
  <si>
    <t>ESTEVES PEDROZA MELO</t>
  </si>
  <si>
    <t>JAYME VINICIUS</t>
  </si>
  <si>
    <t>jvepm@ic.ufal.br</t>
  </si>
  <si>
    <t>LUCAS DE SOUZA LIRA CALHEIROS</t>
  </si>
  <si>
    <t xml:space="preserve">JOAO </t>
  </si>
  <si>
    <t>jlslc@ic.ufal.br</t>
  </si>
  <si>
    <t>FERNANDO DA SILVA PORTUGUES</t>
  </si>
  <si>
    <t xml:space="preserve">LUCAS </t>
  </si>
  <si>
    <t>lfspo@ic.ufal.br</t>
  </si>
  <si>
    <t>Barreto Vasconcelos Calazans</t>
  </si>
  <si>
    <t>Laryssa</t>
  </si>
  <si>
    <t>lbvc@ic.ufal.br</t>
  </si>
  <si>
    <t>Holanda de Paula</t>
  </si>
  <si>
    <t xml:space="preserve">Leonardo Lucca </t>
  </si>
  <si>
    <t>llhp@ic.ufal.br</t>
  </si>
  <si>
    <t>Rocha Silva</t>
  </si>
  <si>
    <t>Marcela</t>
  </si>
  <si>
    <t>mrs@ic.ufal.br</t>
  </si>
  <si>
    <t>Pereira da Silva</t>
  </si>
  <si>
    <t>Marcelo Eduardo</t>
  </si>
  <si>
    <t>meps@ic.ufal.br</t>
  </si>
  <si>
    <t xml:space="preserve">Nascimento dos Santos </t>
  </si>
  <si>
    <t xml:space="preserve">Marta Mirely </t>
  </si>
  <si>
    <t>mmns@ic.ufal.br</t>
  </si>
  <si>
    <t>Almeida</t>
  </si>
  <si>
    <t>Mateus</t>
  </si>
  <si>
    <t>mateus.bezerra@ctec.ufal.br</t>
  </si>
  <si>
    <t>Sousa</t>
  </si>
  <si>
    <t>Matheus</t>
  </si>
  <si>
    <t>matheus.sousa@ctec.ufal.br</t>
  </si>
  <si>
    <t>Miguel Castela Ferreira</t>
  </si>
  <si>
    <t>mcf@ic.ufal.br</t>
  </si>
  <si>
    <t>Duarte dos Santos</t>
  </si>
  <si>
    <t>Murilo</t>
  </si>
  <si>
    <t>mds2@ic.ufal.br</t>
  </si>
  <si>
    <t xml:space="preserve">Alves Sousa Moreira </t>
  </si>
  <si>
    <t xml:space="preserve">Nelson </t>
  </si>
  <si>
    <t>nasm@ic.ufal.br</t>
  </si>
  <si>
    <t>HENRIQUE OLIVEIRA NEVES</t>
  </si>
  <si>
    <t xml:space="preserve">PEDRO </t>
  </si>
  <si>
    <t>phon@ic.ufal.br</t>
  </si>
  <si>
    <t>HENRIQUE SA DE OLIVEIRA</t>
  </si>
  <si>
    <t>phso@ic.ufal.br</t>
  </si>
  <si>
    <t>Henrique Silva Marques Ribero</t>
  </si>
  <si>
    <t>Pedro</t>
  </si>
  <si>
    <t>phsmr@ic.ufal.br</t>
  </si>
  <si>
    <t>COSTA SANTOS</t>
  </si>
  <si>
    <t xml:space="preserve">RIANE </t>
  </si>
  <si>
    <t>rics@ic.ufal.br</t>
  </si>
  <si>
    <t>FELIPE FERNANDES MELO</t>
  </si>
  <si>
    <t xml:space="preserve">RUDSON </t>
  </si>
  <si>
    <t>rffm@ic.ufal.br</t>
  </si>
  <si>
    <t xml:space="preserve"> Correia dos Santos</t>
  </si>
  <si>
    <t>Robson de Paula</t>
  </si>
  <si>
    <t>rpcs@ic.ufal.br</t>
  </si>
  <si>
    <t>Marques Laurentino</t>
  </si>
  <si>
    <t xml:space="preserve">Thiago Fellype </t>
  </si>
  <si>
    <t>tfml@ic.ufal.br</t>
  </si>
  <si>
    <t>GOMES DA SILVA NETO</t>
  </si>
  <si>
    <t xml:space="preserve">VALTER </t>
  </si>
  <si>
    <t>vgsn@ic.ufal.br</t>
  </si>
  <si>
    <t xml:space="preserve"> Cabral da Silva </t>
  </si>
  <si>
    <t>Victoria Júllya</t>
  </si>
  <si>
    <t>vjcs@ic.ufal.br</t>
  </si>
  <si>
    <t>MACIEL MELO LIMA</t>
  </si>
  <si>
    <t xml:space="preserve">WALLYSSON </t>
  </si>
  <si>
    <t>wmml@ic.ufal.br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</si>
</sst>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0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2" fontId="2" numFmtId="0" xfId="0" applyAlignment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4" fontId="9" numFmtId="165" xfId="0" applyAlignment="1" applyFont="1" applyNumberForma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35" width="16.0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3"/>
      <c r="AG1" s="3"/>
      <c r="AH1" s="3"/>
      <c r="AI1" s="3"/>
    </row>
    <row r="2" ht="24.0" customHeight="1">
      <c r="A2" s="4" t="s">
        <v>1</v>
      </c>
      <c r="B2" s="4" t="s">
        <v>1</v>
      </c>
      <c r="C2" s="4" t="s">
        <v>1</v>
      </c>
      <c r="D2" s="4" t="s">
        <v>1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45</v>
      </c>
      <c r="AC2" s="5" t="s">
        <v>48</v>
      </c>
      <c r="AD2" s="5" t="s">
        <v>49</v>
      </c>
      <c r="AE2" s="5" t="s">
        <v>50</v>
      </c>
      <c r="AF2" s="6"/>
      <c r="AG2" s="6"/>
      <c r="AH2" s="6"/>
      <c r="AI2" s="6"/>
    </row>
    <row r="3" ht="24.0" customHeight="1">
      <c r="A3" s="7" t="str">
        <f>hyperlink("https://classroom.google.com/c/NzQ3NzI4MTU3MDU0", upper("Abrir sala de aula"))</f>
        <v>ABRIR SALA DE AULA</v>
      </c>
      <c r="B3" s="8" t="s">
        <v>1</v>
      </c>
      <c r="C3" s="8" t="s">
        <v>1</v>
      </c>
      <c r="D3" s="8" t="s">
        <v>1</v>
      </c>
      <c r="E3" s="2">
        <v>1.0</v>
      </c>
      <c r="F3" s="2">
        <v>1.0</v>
      </c>
      <c r="G3" s="2">
        <v>10.0</v>
      </c>
      <c r="H3" s="2">
        <v>1.0</v>
      </c>
      <c r="I3" s="2">
        <v>10.0</v>
      </c>
      <c r="J3" s="2">
        <v>1.0</v>
      </c>
      <c r="K3" s="2">
        <v>10.0</v>
      </c>
      <c r="L3" s="2">
        <v>1.0</v>
      </c>
      <c r="M3" s="2">
        <v>1.0</v>
      </c>
      <c r="N3" s="2">
        <v>10.0</v>
      </c>
      <c r="O3" s="2">
        <v>10.0</v>
      </c>
      <c r="P3" s="2">
        <v>10.0</v>
      </c>
      <c r="Q3" s="2">
        <v>1.0</v>
      </c>
      <c r="R3" s="2">
        <v>1.0</v>
      </c>
      <c r="S3" s="2">
        <v>10.0</v>
      </c>
      <c r="T3" s="2">
        <v>1.0</v>
      </c>
      <c r="U3" s="2">
        <v>1.0</v>
      </c>
      <c r="V3" s="2">
        <v>10.0</v>
      </c>
      <c r="W3" s="2">
        <v>1.0</v>
      </c>
      <c r="X3" s="2">
        <v>10.0</v>
      </c>
      <c r="Y3" s="2">
        <v>1.0</v>
      </c>
      <c r="Z3" s="2">
        <v>10.0</v>
      </c>
      <c r="AA3" s="2">
        <v>10.0</v>
      </c>
      <c r="AB3" s="2">
        <v>1.0</v>
      </c>
      <c r="AC3" s="2">
        <v>1.0</v>
      </c>
      <c r="AD3" s="2">
        <v>10.0</v>
      </c>
      <c r="AE3" s="2">
        <v>10.0</v>
      </c>
      <c r="AF3" s="3"/>
      <c r="AG3" s="3"/>
      <c r="AH3" s="3"/>
      <c r="AI3" s="3"/>
    </row>
    <row r="4" ht="24.0" customHeight="1">
      <c r="A4" s="9" t="s">
        <v>1</v>
      </c>
      <c r="B4" s="9" t="s">
        <v>1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</v>
      </c>
      <c r="U4" s="9" t="s">
        <v>1</v>
      </c>
      <c r="V4" s="9" t="s">
        <v>1</v>
      </c>
      <c r="W4" s="9" t="s">
        <v>1</v>
      </c>
      <c r="X4" s="9" t="s">
        <v>1</v>
      </c>
      <c r="Y4" s="9" t="s">
        <v>1</v>
      </c>
      <c r="Z4" s="9" t="s">
        <v>1</v>
      </c>
      <c r="AA4" s="9" t="s">
        <v>1</v>
      </c>
      <c r="AB4" s="9" t="s">
        <v>1</v>
      </c>
      <c r="AC4" s="9" t="s">
        <v>1</v>
      </c>
      <c r="AD4" s="9" t="s">
        <v>1</v>
      </c>
      <c r="AE4" s="9" t="s">
        <v>1</v>
      </c>
      <c r="AF4" s="10"/>
      <c r="AG4" s="10"/>
      <c r="AH4" s="10"/>
      <c r="AI4" s="10"/>
    </row>
    <row r="5" ht="24.0" customHeight="1">
      <c r="A5" s="11" t="s">
        <v>51</v>
      </c>
      <c r="B5" s="11" t="s">
        <v>1</v>
      </c>
      <c r="C5" s="11" t="s">
        <v>1</v>
      </c>
      <c r="D5" s="12">
        <f>iferror(sumifs(E5:AE5,E5:AE5,"&lt;&gt;",E4:AE4,"")/sumifs(E3:AE3,E5:AE5,"&lt;&gt;",E4:AE4,""),"")</f>
        <v>0.791708196</v>
      </c>
      <c r="E5" s="13">
        <f t="shared" ref="E5:AE5" si="1">iferror(average(E6:E48),"")</f>
        <v>1</v>
      </c>
      <c r="F5" s="13">
        <f t="shared" si="1"/>
        <v>1</v>
      </c>
      <c r="G5" s="13">
        <f t="shared" si="1"/>
        <v>9.4825</v>
      </c>
      <c r="H5" s="13">
        <f t="shared" si="1"/>
        <v>1</v>
      </c>
      <c r="I5" s="13">
        <f t="shared" si="1"/>
        <v>9.111111111</v>
      </c>
      <c r="J5" s="13">
        <f t="shared" si="1"/>
        <v>1</v>
      </c>
      <c r="K5" s="13">
        <f t="shared" si="1"/>
        <v>8.029411765</v>
      </c>
      <c r="L5" s="13">
        <f t="shared" si="1"/>
        <v>1</v>
      </c>
      <c r="M5" s="13">
        <f t="shared" si="1"/>
        <v>1</v>
      </c>
      <c r="N5" s="13">
        <f t="shared" si="1"/>
        <v>4.443902439</v>
      </c>
      <c r="O5" s="13">
        <f t="shared" si="1"/>
        <v>9.059090909</v>
      </c>
      <c r="P5" s="13">
        <f t="shared" si="1"/>
        <v>9.242424242</v>
      </c>
      <c r="Q5" s="13">
        <f t="shared" si="1"/>
        <v>1</v>
      </c>
      <c r="R5" s="13">
        <f t="shared" si="1"/>
        <v>1</v>
      </c>
      <c r="S5" s="13">
        <f t="shared" si="1"/>
        <v>7</v>
      </c>
      <c r="T5" s="13">
        <f t="shared" si="1"/>
        <v>1</v>
      </c>
      <c r="U5" s="13">
        <f t="shared" si="1"/>
        <v>1</v>
      </c>
      <c r="V5" s="13">
        <f t="shared" si="1"/>
        <v>7.75</v>
      </c>
      <c r="W5" s="13">
        <f t="shared" si="1"/>
        <v>1</v>
      </c>
      <c r="X5" s="13">
        <f t="shared" si="1"/>
        <v>8.275862069</v>
      </c>
      <c r="Y5" s="13">
        <f t="shared" si="1"/>
        <v>1</v>
      </c>
      <c r="Z5" s="13">
        <f t="shared" si="1"/>
        <v>8.921875</v>
      </c>
      <c r="AA5" s="13">
        <f t="shared" si="1"/>
        <v>4.088235294</v>
      </c>
      <c r="AB5" s="13">
        <f t="shared" si="1"/>
        <v>1</v>
      </c>
      <c r="AC5" s="13">
        <f t="shared" si="1"/>
        <v>1</v>
      </c>
      <c r="AD5" s="13">
        <f t="shared" si="1"/>
        <v>9.137931034</v>
      </c>
      <c r="AE5" s="13">
        <f t="shared" si="1"/>
        <v>5.463636364</v>
      </c>
      <c r="AF5" s="14" t="s">
        <v>52</v>
      </c>
      <c r="AG5" s="14" t="s">
        <v>53</v>
      </c>
      <c r="AH5" s="14" t="s">
        <v>54</v>
      </c>
      <c r="AI5" s="14" t="s">
        <v>55</v>
      </c>
    </row>
    <row r="6" ht="24.0" customHeight="1">
      <c r="A6" s="15" t="s">
        <v>56</v>
      </c>
      <c r="B6" s="15" t="s">
        <v>57</v>
      </c>
      <c r="C6" s="15" t="s">
        <v>58</v>
      </c>
      <c r="D6" s="16">
        <f>iferror(sumif(E6:AE6,"&lt;&gt;")/sumif(E6:AE6,"&lt;&gt;",E3:AE3),"")</f>
        <v>0.8503875969</v>
      </c>
      <c r="E6" s="15"/>
      <c r="F6" s="15">
        <v>1.0</v>
      </c>
      <c r="G6" s="15">
        <v>10.0</v>
      </c>
      <c r="H6" s="15">
        <v>1.0</v>
      </c>
      <c r="I6" s="15">
        <v>10.0</v>
      </c>
      <c r="J6" s="15">
        <v>1.0</v>
      </c>
      <c r="K6" s="15">
        <v>5.0</v>
      </c>
      <c r="L6" s="15">
        <v>1.0</v>
      </c>
      <c r="M6" s="15"/>
      <c r="N6" s="15">
        <v>9.0</v>
      </c>
      <c r="O6" s="15"/>
      <c r="P6" s="15">
        <v>9.5</v>
      </c>
      <c r="Q6" s="15"/>
      <c r="R6" s="15"/>
      <c r="S6" s="15">
        <v>9.0</v>
      </c>
      <c r="T6" s="15"/>
      <c r="U6" s="15">
        <v>1.0</v>
      </c>
      <c r="V6" s="15">
        <v>8.0</v>
      </c>
      <c r="W6" s="15">
        <v>1.0</v>
      </c>
      <c r="X6" s="15">
        <v>9.0</v>
      </c>
      <c r="Y6" s="15">
        <v>1.0</v>
      </c>
      <c r="Z6" s="15">
        <v>10.0</v>
      </c>
      <c r="AA6" s="15">
        <v>4.7</v>
      </c>
      <c r="AB6" s="15">
        <v>1.0</v>
      </c>
      <c r="AC6" s="15">
        <v>1.0</v>
      </c>
      <c r="AD6" s="15">
        <v>9.5</v>
      </c>
      <c r="AE6" s="15">
        <v>7.0</v>
      </c>
      <c r="AF6" s="15">
        <f t="shared" ref="AF6:AF48" si="2">(V6+X6+Z6+AD6)/4</f>
        <v>9.125</v>
      </c>
      <c r="AG6" s="15">
        <f t="shared" ref="AG6:AG48" si="3">(M6+Q6+R6+T6+U6+W6+Y6+AB6+AC6)/9</f>
        <v>0.5555555556</v>
      </c>
      <c r="AH6" s="15">
        <f t="shared" ref="AH6:AH48" si="4">(AA6+AE6)/2</f>
        <v>5.85</v>
      </c>
      <c r="AI6" s="15">
        <f t="shared" ref="AI6:AI48" si="5">AF6*0.2+AH6*0.8+AG6</f>
        <v>7.060555556</v>
      </c>
    </row>
    <row r="7" ht="24.0" customHeight="1">
      <c r="A7" s="15" t="s">
        <v>59</v>
      </c>
      <c r="B7" s="15" t="s">
        <v>60</v>
      </c>
      <c r="C7" s="15" t="s">
        <v>61</v>
      </c>
      <c r="D7" s="16">
        <f>iferror(sumif(E7:AE7,"&lt;&gt;")/sumif(E7:AE7,"&lt;&gt;",E3:AE3),"")</f>
        <v>0.84609375</v>
      </c>
      <c r="E7" s="15">
        <v>1.0</v>
      </c>
      <c r="F7" s="15">
        <v>1.0</v>
      </c>
      <c r="G7" s="15">
        <v>9.5</v>
      </c>
      <c r="H7" s="15">
        <v>1.0</v>
      </c>
      <c r="I7" s="15">
        <v>10.0</v>
      </c>
      <c r="J7" s="15">
        <v>1.0</v>
      </c>
      <c r="K7" s="15">
        <v>6.0</v>
      </c>
      <c r="L7" s="15"/>
      <c r="M7" s="15">
        <v>1.0</v>
      </c>
      <c r="N7" s="15">
        <v>6.8</v>
      </c>
      <c r="O7" s="15"/>
      <c r="P7" s="15">
        <v>9.0</v>
      </c>
      <c r="Q7" s="15"/>
      <c r="R7" s="15"/>
      <c r="S7" s="15">
        <v>8.5</v>
      </c>
      <c r="T7" s="15"/>
      <c r="U7" s="15">
        <v>1.0</v>
      </c>
      <c r="V7" s="15">
        <v>9.5</v>
      </c>
      <c r="W7" s="15">
        <v>1.0</v>
      </c>
      <c r="X7" s="15">
        <v>9.0</v>
      </c>
      <c r="Y7" s="15">
        <v>1.0</v>
      </c>
      <c r="Z7" s="15">
        <v>10.0</v>
      </c>
      <c r="AA7" s="15">
        <v>6.0</v>
      </c>
      <c r="AB7" s="15"/>
      <c r="AC7" s="15"/>
      <c r="AD7" s="15">
        <v>9.0</v>
      </c>
      <c r="AE7" s="15">
        <v>7.0</v>
      </c>
      <c r="AF7" s="15">
        <f t="shared" si="2"/>
        <v>9.375</v>
      </c>
      <c r="AG7" s="15">
        <f t="shared" si="3"/>
        <v>0.4444444444</v>
      </c>
      <c r="AH7" s="15">
        <f t="shared" si="4"/>
        <v>6.5</v>
      </c>
      <c r="AI7" s="15">
        <f t="shared" si="5"/>
        <v>7.519444444</v>
      </c>
    </row>
    <row r="8" ht="24.0" customHeight="1">
      <c r="A8" s="15" t="s">
        <v>62</v>
      </c>
      <c r="B8" s="15" t="s">
        <v>63</v>
      </c>
      <c r="C8" s="15" t="s">
        <v>64</v>
      </c>
      <c r="D8" s="16">
        <f>iferror(sumif(E8:AE8,"&lt;&gt;")/sumif(E8:AE8,"&lt;&gt;",E3:AE3),"")</f>
        <v>0.7352941176</v>
      </c>
      <c r="E8" s="15">
        <v>1.0</v>
      </c>
      <c r="F8" s="15"/>
      <c r="G8" s="15">
        <v>10.0</v>
      </c>
      <c r="H8" s="15">
        <v>1.0</v>
      </c>
      <c r="I8" s="15">
        <v>9.0</v>
      </c>
      <c r="J8" s="15"/>
      <c r="K8" s="15">
        <v>8.0</v>
      </c>
      <c r="L8" s="15"/>
      <c r="M8" s="15"/>
      <c r="N8" s="15">
        <v>3.0</v>
      </c>
      <c r="O8" s="15">
        <v>8.5</v>
      </c>
      <c r="P8" s="15">
        <v>9.5</v>
      </c>
      <c r="Q8" s="15">
        <v>1.0</v>
      </c>
      <c r="R8" s="15"/>
      <c r="S8" s="15">
        <v>8.0</v>
      </c>
      <c r="T8" s="15">
        <v>1.0</v>
      </c>
      <c r="U8" s="15"/>
      <c r="V8" s="15">
        <v>8.0</v>
      </c>
      <c r="W8" s="15">
        <v>1.0</v>
      </c>
      <c r="X8" s="15">
        <v>8.0</v>
      </c>
      <c r="Y8" s="15">
        <v>1.0</v>
      </c>
      <c r="Z8" s="15">
        <v>9.0</v>
      </c>
      <c r="AA8" s="15">
        <v>2.0</v>
      </c>
      <c r="AB8" s="15"/>
      <c r="AC8" s="15"/>
      <c r="AD8" s="15">
        <v>9.0</v>
      </c>
      <c r="AE8" s="15">
        <v>2.0</v>
      </c>
      <c r="AF8" s="15">
        <f t="shared" si="2"/>
        <v>8.5</v>
      </c>
      <c r="AG8" s="15">
        <f t="shared" si="3"/>
        <v>0.4444444444</v>
      </c>
      <c r="AH8" s="15">
        <f t="shared" si="4"/>
        <v>2</v>
      </c>
      <c r="AI8" s="15">
        <f t="shared" si="5"/>
        <v>3.744444444</v>
      </c>
    </row>
    <row r="9" ht="24.0" customHeight="1">
      <c r="A9" s="15" t="s">
        <v>65</v>
      </c>
      <c r="B9" s="15" t="s">
        <v>66</v>
      </c>
      <c r="C9" s="15" t="s">
        <v>67</v>
      </c>
      <c r="D9" s="16">
        <f>iferror(sumif(E9:AE9,"&lt;&gt;")/sumif(E9:AE9,"&lt;&gt;",E3:AE3),"")</f>
        <v>0.7869565217</v>
      </c>
      <c r="E9" s="15"/>
      <c r="F9" s="15">
        <v>1.0</v>
      </c>
      <c r="G9" s="15">
        <v>10.0</v>
      </c>
      <c r="H9" s="15">
        <v>1.0</v>
      </c>
      <c r="I9" s="15">
        <v>8.5</v>
      </c>
      <c r="J9" s="15"/>
      <c r="K9" s="15">
        <v>10.0</v>
      </c>
      <c r="L9" s="15"/>
      <c r="M9" s="15">
        <v>1.0</v>
      </c>
      <c r="N9" s="15">
        <v>1.6</v>
      </c>
      <c r="O9" s="15">
        <v>10.0</v>
      </c>
      <c r="P9" s="15">
        <v>9.5</v>
      </c>
      <c r="Q9" s="15">
        <v>1.0</v>
      </c>
      <c r="R9" s="15"/>
      <c r="S9" s="15">
        <v>8.0</v>
      </c>
      <c r="T9" s="15"/>
      <c r="U9" s="15"/>
      <c r="V9" s="15">
        <v>8.5</v>
      </c>
      <c r="W9" s="15">
        <v>1.0</v>
      </c>
      <c r="X9" s="15">
        <v>8.0</v>
      </c>
      <c r="Y9" s="15">
        <v>1.0</v>
      </c>
      <c r="Z9" s="15">
        <v>8.0</v>
      </c>
      <c r="AA9" s="15">
        <v>4.0</v>
      </c>
      <c r="AB9" s="15">
        <v>1.0</v>
      </c>
      <c r="AC9" s="15">
        <v>1.0</v>
      </c>
      <c r="AD9" s="15">
        <v>9.0</v>
      </c>
      <c r="AE9" s="15">
        <v>5.5</v>
      </c>
      <c r="AF9" s="15">
        <f t="shared" si="2"/>
        <v>8.375</v>
      </c>
      <c r="AG9" s="15">
        <f t="shared" si="3"/>
        <v>0.6666666667</v>
      </c>
      <c r="AH9" s="15">
        <f t="shared" si="4"/>
        <v>4.75</v>
      </c>
      <c r="AI9" s="15">
        <f t="shared" si="5"/>
        <v>6.141666667</v>
      </c>
    </row>
    <row r="10" ht="24.0" customHeight="1">
      <c r="A10" s="15" t="s">
        <v>1</v>
      </c>
      <c r="B10" s="15" t="s">
        <v>68</v>
      </c>
      <c r="C10" s="15" t="s">
        <v>69</v>
      </c>
      <c r="D10" s="16">
        <f>iferror(sumif(E10:AE10,"&lt;&gt;")/sumif(E10:AE10,"&lt;&gt;",E3:AE3),"")</f>
        <v>0.8119402985</v>
      </c>
      <c r="E10" s="15">
        <v>1.0</v>
      </c>
      <c r="F10" s="15"/>
      <c r="G10" s="15">
        <v>9.5</v>
      </c>
      <c r="H10" s="15"/>
      <c r="I10" s="15">
        <v>8.5</v>
      </c>
      <c r="J10" s="15">
        <v>1.0</v>
      </c>
      <c r="K10" s="15">
        <v>9.0</v>
      </c>
      <c r="L10" s="15"/>
      <c r="M10" s="15">
        <v>1.0</v>
      </c>
      <c r="N10" s="15">
        <v>9.3</v>
      </c>
      <c r="O10" s="15">
        <v>7.0</v>
      </c>
      <c r="P10" s="15">
        <v>8.5</v>
      </c>
      <c r="Q10" s="15"/>
      <c r="R10" s="15"/>
      <c r="S10" s="15">
        <v>8.5</v>
      </c>
      <c r="T10" s="15"/>
      <c r="U10" s="15"/>
      <c r="V10" s="15">
        <v>8.0</v>
      </c>
      <c r="W10" s="15"/>
      <c r="X10" s="15">
        <v>9.0</v>
      </c>
      <c r="Y10" s="15"/>
      <c r="Z10" s="15">
        <v>9.0</v>
      </c>
      <c r="AA10" s="15">
        <v>4.5</v>
      </c>
      <c r="AB10" s="15"/>
      <c r="AC10" s="15">
        <v>1.0</v>
      </c>
      <c r="AD10" s="15">
        <v>8.5</v>
      </c>
      <c r="AE10" s="15">
        <v>5.5</v>
      </c>
      <c r="AF10" s="15">
        <f t="shared" si="2"/>
        <v>8.625</v>
      </c>
      <c r="AG10" s="15">
        <f t="shared" si="3"/>
        <v>0.2222222222</v>
      </c>
      <c r="AH10" s="15">
        <f t="shared" si="4"/>
        <v>5</v>
      </c>
      <c r="AI10" s="15">
        <f t="shared" si="5"/>
        <v>5.947222222</v>
      </c>
    </row>
    <row r="11" ht="24.0" customHeight="1">
      <c r="A11" s="15" t="s">
        <v>70</v>
      </c>
      <c r="B11" s="15" t="s">
        <v>71</v>
      </c>
      <c r="C11" s="15" t="s">
        <v>72</v>
      </c>
      <c r="D11" s="16">
        <f>iferror(sumif(E11:AE11,"&lt;&gt;")/sumif(E11:AE11,"&lt;&gt;",E3:AE3),"")</f>
        <v>0.5838709677</v>
      </c>
      <c r="E11" s="15"/>
      <c r="F11" s="15">
        <v>1.0</v>
      </c>
      <c r="G11" s="15"/>
      <c r="H11" s="15"/>
      <c r="I11" s="15"/>
      <c r="J11" s="15"/>
      <c r="K11" s="15">
        <v>10.0</v>
      </c>
      <c r="L11" s="15">
        <v>1.0</v>
      </c>
      <c r="M11" s="15"/>
      <c r="N11" s="15">
        <v>3.7</v>
      </c>
      <c r="O11" s="15">
        <v>7.5</v>
      </c>
      <c r="P11" s="15"/>
      <c r="Q11" s="15"/>
      <c r="R11" s="15"/>
      <c r="S11" s="15">
        <v>7.5</v>
      </c>
      <c r="T11" s="15"/>
      <c r="U11" s="15"/>
      <c r="V11" s="15">
        <v>2.0</v>
      </c>
      <c r="W11" s="15"/>
      <c r="X11" s="15"/>
      <c r="Y11" s="15"/>
      <c r="Z11" s="15"/>
      <c r="AA11" s="15">
        <v>3.5</v>
      </c>
      <c r="AB11" s="15"/>
      <c r="AC11" s="15"/>
      <c r="AD11" s="15"/>
      <c r="AE11" s="15"/>
      <c r="AF11" s="15">
        <f t="shared" si="2"/>
        <v>0.5</v>
      </c>
      <c r="AG11" s="15">
        <f t="shared" si="3"/>
        <v>0</v>
      </c>
      <c r="AH11" s="15">
        <f t="shared" si="4"/>
        <v>1.75</v>
      </c>
      <c r="AI11" s="15">
        <f t="shared" si="5"/>
        <v>1.5</v>
      </c>
    </row>
    <row r="12" ht="24.0" customHeight="1">
      <c r="A12" s="15" t="s">
        <v>73</v>
      </c>
      <c r="B12" s="15" t="s">
        <v>74</v>
      </c>
      <c r="C12" s="15" t="s">
        <v>75</v>
      </c>
      <c r="D12" s="16" t="str">
        <f>iferror(sumif(E12:AE12,"&lt;&gt;")/sumif(E12:AE12,"&lt;&gt;",E3:AE3),"")</f>
        <v/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>
        <f t="shared" si="2"/>
        <v>0</v>
      </c>
      <c r="AG12" s="15">
        <f t="shared" si="3"/>
        <v>0</v>
      </c>
      <c r="AH12" s="15">
        <f t="shared" si="4"/>
        <v>0</v>
      </c>
      <c r="AI12" s="15">
        <f t="shared" si="5"/>
        <v>0</v>
      </c>
    </row>
    <row r="13" ht="24.0" customHeight="1">
      <c r="A13" s="15" t="s">
        <v>76</v>
      </c>
      <c r="B13" s="15" t="s">
        <v>77</v>
      </c>
      <c r="C13" s="15" t="s">
        <v>78</v>
      </c>
      <c r="D13" s="16">
        <f>iferror(sumif(E13:AE13,"&lt;&gt;")/sumif(E13:AE13,"&lt;&gt;",E3:AE3),"")</f>
        <v>0.8692307692</v>
      </c>
      <c r="E13" s="15">
        <v>1.0</v>
      </c>
      <c r="F13" s="15"/>
      <c r="G13" s="15">
        <v>10.0</v>
      </c>
      <c r="H13" s="15">
        <v>1.0</v>
      </c>
      <c r="I13" s="15">
        <v>10.0</v>
      </c>
      <c r="J13" s="15">
        <v>1.0</v>
      </c>
      <c r="K13" s="15">
        <v>8.0</v>
      </c>
      <c r="L13" s="15">
        <v>1.0</v>
      </c>
      <c r="M13" s="15">
        <v>1.0</v>
      </c>
      <c r="N13" s="15">
        <v>8.0</v>
      </c>
      <c r="O13" s="15"/>
      <c r="P13" s="15">
        <v>10.0</v>
      </c>
      <c r="Q13" s="15">
        <v>1.0</v>
      </c>
      <c r="R13" s="15"/>
      <c r="S13" s="15">
        <v>8.5</v>
      </c>
      <c r="T13" s="15"/>
      <c r="U13" s="15">
        <v>1.0</v>
      </c>
      <c r="V13" s="15">
        <v>8.0</v>
      </c>
      <c r="W13" s="15"/>
      <c r="X13" s="15">
        <v>9.0</v>
      </c>
      <c r="Y13" s="15">
        <v>1.0</v>
      </c>
      <c r="Z13" s="15">
        <v>10.0</v>
      </c>
      <c r="AA13" s="15">
        <v>5.0</v>
      </c>
      <c r="AB13" s="15">
        <v>1.0</v>
      </c>
      <c r="AC13" s="15">
        <v>1.0</v>
      </c>
      <c r="AD13" s="17">
        <v>9.5</v>
      </c>
      <c r="AE13" s="15">
        <v>7.0</v>
      </c>
      <c r="AF13" s="15">
        <f t="shared" si="2"/>
        <v>9.125</v>
      </c>
      <c r="AG13" s="15">
        <f t="shared" si="3"/>
        <v>0.6666666667</v>
      </c>
      <c r="AH13" s="15">
        <f t="shared" si="4"/>
        <v>6</v>
      </c>
      <c r="AI13" s="15">
        <f t="shared" si="5"/>
        <v>7.291666667</v>
      </c>
    </row>
    <row r="14" ht="24.0" customHeight="1">
      <c r="A14" s="15" t="s">
        <v>79</v>
      </c>
      <c r="B14" s="15" t="s">
        <v>80</v>
      </c>
      <c r="C14" s="15" t="s">
        <v>81</v>
      </c>
      <c r="D14" s="16">
        <f>iferror(sumif(E14:AE14,"&lt;&gt;")/sumif(E14:AE14,"&lt;&gt;",E3:AE3),"")</f>
        <v>0.8612068966</v>
      </c>
      <c r="E14" s="15"/>
      <c r="F14" s="15">
        <v>1.0</v>
      </c>
      <c r="G14" s="15">
        <v>10.0</v>
      </c>
      <c r="H14" s="15">
        <v>1.0</v>
      </c>
      <c r="I14" s="15">
        <v>10.0</v>
      </c>
      <c r="J14" s="15">
        <v>1.0</v>
      </c>
      <c r="K14" s="15">
        <v>8.0</v>
      </c>
      <c r="L14" s="15"/>
      <c r="M14" s="15">
        <v>1.0</v>
      </c>
      <c r="N14" s="15">
        <v>7.8</v>
      </c>
      <c r="O14" s="15"/>
      <c r="P14" s="15">
        <v>10.0</v>
      </c>
      <c r="Q14" s="15"/>
      <c r="R14" s="15"/>
      <c r="S14" s="15">
        <v>8.0</v>
      </c>
      <c r="T14" s="15"/>
      <c r="U14" s="15">
        <v>1.0</v>
      </c>
      <c r="V14" s="15"/>
      <c r="W14" s="15"/>
      <c r="X14" s="15">
        <v>9.0</v>
      </c>
      <c r="Y14" s="15">
        <v>1.0</v>
      </c>
      <c r="Z14" s="15">
        <v>9.5</v>
      </c>
      <c r="AA14" s="15">
        <v>6.2</v>
      </c>
      <c r="AB14" s="15"/>
      <c r="AC14" s="15"/>
      <c r="AD14" s="17">
        <v>9.0</v>
      </c>
      <c r="AE14" s="15">
        <v>6.4</v>
      </c>
      <c r="AF14" s="15">
        <f t="shared" si="2"/>
        <v>6.875</v>
      </c>
      <c r="AG14" s="15">
        <f t="shared" si="3"/>
        <v>0.3333333333</v>
      </c>
      <c r="AH14" s="15">
        <f t="shared" si="4"/>
        <v>6.3</v>
      </c>
      <c r="AI14" s="15">
        <f t="shared" si="5"/>
        <v>6.748333333</v>
      </c>
    </row>
    <row r="15" ht="24.0" customHeight="1">
      <c r="A15" s="15" t="s">
        <v>82</v>
      </c>
      <c r="B15" s="15" t="s">
        <v>83</v>
      </c>
      <c r="C15" s="15" t="s">
        <v>84</v>
      </c>
      <c r="D15" s="16">
        <f>iferror(sumif(E15:AE15,"&lt;&gt;")/sumif(E15:AE15,"&lt;&gt;",E3:AE3),"")</f>
        <v>0.7604316547</v>
      </c>
      <c r="E15" s="15">
        <v>1.0</v>
      </c>
      <c r="F15" s="15"/>
      <c r="G15" s="15">
        <v>10.0</v>
      </c>
      <c r="H15" s="15">
        <v>1.0</v>
      </c>
      <c r="I15" s="15">
        <v>9.5</v>
      </c>
      <c r="J15" s="15">
        <v>1.0</v>
      </c>
      <c r="K15" s="15">
        <v>8.0</v>
      </c>
      <c r="L15" s="15">
        <v>1.0</v>
      </c>
      <c r="M15" s="15"/>
      <c r="N15" s="15">
        <v>1.5</v>
      </c>
      <c r="O15" s="15">
        <v>9.8</v>
      </c>
      <c r="P15" s="15">
        <v>10.0</v>
      </c>
      <c r="Q15" s="15"/>
      <c r="R15" s="15"/>
      <c r="S15" s="15">
        <v>8.2</v>
      </c>
      <c r="T15" s="15"/>
      <c r="U15" s="15">
        <v>1.0</v>
      </c>
      <c r="V15" s="15">
        <v>8.5</v>
      </c>
      <c r="W15" s="15">
        <v>1.0</v>
      </c>
      <c r="X15" s="15">
        <v>8.0</v>
      </c>
      <c r="Y15" s="15">
        <v>1.0</v>
      </c>
      <c r="Z15" s="15">
        <v>9.5</v>
      </c>
      <c r="AA15" s="15">
        <v>1.0</v>
      </c>
      <c r="AB15" s="15">
        <v>1.0</v>
      </c>
      <c r="AC15" s="15">
        <v>1.0</v>
      </c>
      <c r="AD15" s="15">
        <v>9.0</v>
      </c>
      <c r="AE15" s="15">
        <v>3.7</v>
      </c>
      <c r="AF15" s="15">
        <f t="shared" si="2"/>
        <v>8.75</v>
      </c>
      <c r="AG15" s="15">
        <f t="shared" si="3"/>
        <v>0.5555555556</v>
      </c>
      <c r="AH15" s="15">
        <f t="shared" si="4"/>
        <v>2.35</v>
      </c>
      <c r="AI15" s="15">
        <f t="shared" si="5"/>
        <v>4.185555556</v>
      </c>
    </row>
    <row r="16" ht="24.0" customHeight="1">
      <c r="A16" s="15" t="s">
        <v>85</v>
      </c>
      <c r="B16" s="15" t="s">
        <v>86</v>
      </c>
      <c r="C16" s="15" t="s">
        <v>87</v>
      </c>
      <c r="D16" s="16">
        <f>iferror(sumif(E16:AE16,"&lt;&gt;")/sumif(E16:AE16,"&lt;&gt;",E3:AE3),"")</f>
        <v>0.7614173228</v>
      </c>
      <c r="E16" s="15"/>
      <c r="F16" s="15">
        <v>1.0</v>
      </c>
      <c r="G16" s="15">
        <v>10.0</v>
      </c>
      <c r="H16" s="15">
        <v>1.0</v>
      </c>
      <c r="I16" s="15">
        <v>10.0</v>
      </c>
      <c r="J16" s="15">
        <v>1.0</v>
      </c>
      <c r="K16" s="15">
        <v>8.0</v>
      </c>
      <c r="L16" s="15"/>
      <c r="M16" s="15">
        <v>1.0</v>
      </c>
      <c r="N16" s="15">
        <v>4.7</v>
      </c>
      <c r="O16" s="15">
        <v>8.5</v>
      </c>
      <c r="P16" s="15">
        <v>9.5</v>
      </c>
      <c r="Q16" s="15"/>
      <c r="R16" s="15"/>
      <c r="S16" s="15">
        <v>8.5</v>
      </c>
      <c r="T16" s="15"/>
      <c r="U16" s="15"/>
      <c r="V16" s="15">
        <v>7.5</v>
      </c>
      <c r="W16" s="15">
        <v>1.0</v>
      </c>
      <c r="X16" s="15">
        <v>9.0</v>
      </c>
      <c r="Y16" s="15">
        <v>1.0</v>
      </c>
      <c r="Z16" s="15">
        <v>9.0</v>
      </c>
      <c r="AA16" s="15">
        <v>3.5</v>
      </c>
      <c r="AB16" s="15">
        <v>1.0</v>
      </c>
      <c r="AC16" s="15"/>
      <c r="AD16" s="15"/>
      <c r="AE16" s="15">
        <v>1.5</v>
      </c>
      <c r="AF16" s="15">
        <f t="shared" si="2"/>
        <v>6.375</v>
      </c>
      <c r="AG16" s="15">
        <f t="shared" si="3"/>
        <v>0.4444444444</v>
      </c>
      <c r="AH16" s="15">
        <f t="shared" si="4"/>
        <v>2.5</v>
      </c>
      <c r="AI16" s="15">
        <f t="shared" si="5"/>
        <v>3.719444444</v>
      </c>
    </row>
    <row r="17" ht="24.0" customHeight="1">
      <c r="A17" s="15" t="s">
        <v>88</v>
      </c>
      <c r="B17" s="15" t="s">
        <v>89</v>
      </c>
      <c r="C17" s="15" t="s">
        <v>90</v>
      </c>
      <c r="D17" s="16">
        <f>iferror(sumif(E17:AE17,"&lt;&gt;")/sumif(E17:AE17,"&lt;&gt;",E3:AE3),"")</f>
        <v>0.8237762238</v>
      </c>
      <c r="E17" s="15">
        <v>1.0</v>
      </c>
      <c r="F17" s="15">
        <v>1.0</v>
      </c>
      <c r="G17" s="15">
        <v>8.5</v>
      </c>
      <c r="H17" s="15">
        <v>1.0</v>
      </c>
      <c r="I17" s="15">
        <v>8.5</v>
      </c>
      <c r="J17" s="15">
        <v>1.0</v>
      </c>
      <c r="K17" s="15">
        <v>10.0</v>
      </c>
      <c r="L17" s="15">
        <v>1.0</v>
      </c>
      <c r="M17" s="15">
        <v>1.0</v>
      </c>
      <c r="N17" s="15">
        <v>5.8</v>
      </c>
      <c r="O17" s="15">
        <v>9.5</v>
      </c>
      <c r="P17" s="15">
        <v>9.0</v>
      </c>
      <c r="Q17" s="15">
        <v>1.0</v>
      </c>
      <c r="R17" s="15">
        <v>1.0</v>
      </c>
      <c r="S17" s="15">
        <v>9.0</v>
      </c>
      <c r="T17" s="15">
        <v>1.0</v>
      </c>
      <c r="U17" s="15">
        <v>1.0</v>
      </c>
      <c r="V17" s="15">
        <v>7.0</v>
      </c>
      <c r="W17" s="15">
        <v>1.0</v>
      </c>
      <c r="X17" s="15">
        <v>9.0</v>
      </c>
      <c r="Y17" s="15">
        <v>1.0</v>
      </c>
      <c r="Z17" s="15">
        <v>7.5</v>
      </c>
      <c r="AA17" s="15">
        <v>5.0</v>
      </c>
      <c r="AB17" s="15"/>
      <c r="AC17" s="15">
        <v>1.0</v>
      </c>
      <c r="AD17" s="15">
        <v>8.0</v>
      </c>
      <c r="AE17" s="15">
        <v>8.0</v>
      </c>
      <c r="AF17" s="15">
        <f t="shared" si="2"/>
        <v>7.875</v>
      </c>
      <c r="AG17" s="15">
        <f t="shared" si="3"/>
        <v>0.8888888889</v>
      </c>
      <c r="AH17" s="15">
        <f t="shared" si="4"/>
        <v>6.5</v>
      </c>
      <c r="AI17" s="15">
        <f t="shared" si="5"/>
        <v>7.663888889</v>
      </c>
    </row>
    <row r="18" ht="24.0" customHeight="1">
      <c r="A18" s="15" t="s">
        <v>91</v>
      </c>
      <c r="B18" s="15" t="s">
        <v>92</v>
      </c>
      <c r="C18" s="15" t="s">
        <v>93</v>
      </c>
      <c r="D18" s="16">
        <f>iferror(sumif(E18:AE18,"&lt;&gt;")/sumif(E18:AE18,"&lt;&gt;",E3:AE3),"")</f>
        <v>0.6518518519</v>
      </c>
      <c r="E18" s="15"/>
      <c r="F18" s="15">
        <v>1.0</v>
      </c>
      <c r="G18" s="15">
        <v>9.5</v>
      </c>
      <c r="H18" s="15">
        <v>1.0</v>
      </c>
      <c r="I18" s="15">
        <v>6.0</v>
      </c>
      <c r="J18" s="15"/>
      <c r="K18" s="15"/>
      <c r="L18" s="15"/>
      <c r="M18" s="15"/>
      <c r="N18" s="15">
        <v>3.2</v>
      </c>
      <c r="O18" s="15"/>
      <c r="P18" s="15">
        <v>8.5</v>
      </c>
      <c r="Q18" s="15">
        <v>1.0</v>
      </c>
      <c r="R18" s="15"/>
      <c r="S18" s="15">
        <v>4.0</v>
      </c>
      <c r="T18" s="15"/>
      <c r="U18" s="15"/>
      <c r="V18" s="15"/>
      <c r="W18" s="15">
        <v>1.0</v>
      </c>
      <c r="X18" s="15"/>
      <c r="Y18" s="15"/>
      <c r="Z18" s="15"/>
      <c r="AA18" s="15"/>
      <c r="AB18" s="15"/>
      <c r="AC18" s="15"/>
      <c r="AD18" s="15"/>
      <c r="AE18" s="15"/>
      <c r="AF18" s="15">
        <f t="shared" si="2"/>
        <v>0</v>
      </c>
      <c r="AG18" s="15">
        <f t="shared" si="3"/>
        <v>0.2222222222</v>
      </c>
      <c r="AH18" s="15">
        <f t="shared" si="4"/>
        <v>0</v>
      </c>
      <c r="AI18" s="15">
        <f t="shared" si="5"/>
        <v>0.2222222222</v>
      </c>
    </row>
    <row r="19" ht="24.0" customHeight="1">
      <c r="A19" s="15" t="s">
        <v>94</v>
      </c>
      <c r="B19" s="15" t="s">
        <v>95</v>
      </c>
      <c r="C19" s="15" t="s">
        <v>96</v>
      </c>
      <c r="D19" s="16">
        <f>iferror(sumif(E19:AE19,"&lt;&gt;")/sumif(E19:AE19,"&lt;&gt;",E3:AE3),"")</f>
        <v>0.7194915254</v>
      </c>
      <c r="E19" s="15"/>
      <c r="F19" s="15">
        <v>1.0</v>
      </c>
      <c r="G19" s="15">
        <v>10.0</v>
      </c>
      <c r="H19" s="15">
        <v>1.0</v>
      </c>
      <c r="I19" s="15"/>
      <c r="J19" s="15">
        <v>1.0</v>
      </c>
      <c r="K19" s="15">
        <v>8.0</v>
      </c>
      <c r="L19" s="15">
        <v>1.0</v>
      </c>
      <c r="M19" s="15"/>
      <c r="N19" s="15">
        <v>1.4</v>
      </c>
      <c r="O19" s="15">
        <v>7.8</v>
      </c>
      <c r="P19" s="15">
        <v>9.0</v>
      </c>
      <c r="Q19" s="15"/>
      <c r="R19" s="15">
        <v>1.0</v>
      </c>
      <c r="S19" s="15">
        <v>6.5</v>
      </c>
      <c r="T19" s="15">
        <v>1.0</v>
      </c>
      <c r="U19" s="15"/>
      <c r="V19" s="15"/>
      <c r="W19" s="15">
        <v>1.0</v>
      </c>
      <c r="X19" s="15">
        <v>8.0</v>
      </c>
      <c r="Y19" s="15"/>
      <c r="Z19" s="15">
        <v>10.0</v>
      </c>
      <c r="AA19" s="15">
        <v>3.0</v>
      </c>
      <c r="AB19" s="15">
        <v>1.0</v>
      </c>
      <c r="AC19" s="15"/>
      <c r="AD19" s="15">
        <v>9.0</v>
      </c>
      <c r="AE19" s="15">
        <v>4.2</v>
      </c>
      <c r="AF19" s="15">
        <f t="shared" si="2"/>
        <v>6.75</v>
      </c>
      <c r="AG19" s="15">
        <f t="shared" si="3"/>
        <v>0.4444444444</v>
      </c>
      <c r="AH19" s="15">
        <f t="shared" si="4"/>
        <v>3.6</v>
      </c>
      <c r="AI19" s="15">
        <f t="shared" si="5"/>
        <v>4.674444444</v>
      </c>
    </row>
    <row r="20" ht="24.0" customHeight="1">
      <c r="A20" s="15" t="s">
        <v>97</v>
      </c>
      <c r="B20" s="15" t="s">
        <v>98</v>
      </c>
      <c r="C20" s="15" t="s">
        <v>99</v>
      </c>
      <c r="D20" s="16">
        <f>iferror(sumif(E20:AE20,"&lt;&gt;")/sumif(E20:AE20,"&lt;&gt;",E3:AE3),"")</f>
        <v>0.8653543307</v>
      </c>
      <c r="E20" s="15"/>
      <c r="F20" s="15">
        <v>1.0</v>
      </c>
      <c r="G20" s="15">
        <v>9.5</v>
      </c>
      <c r="H20" s="15"/>
      <c r="I20" s="15">
        <v>10.0</v>
      </c>
      <c r="J20" s="15">
        <v>1.0</v>
      </c>
      <c r="K20" s="15">
        <v>5.0</v>
      </c>
      <c r="L20" s="15"/>
      <c r="M20" s="15">
        <v>1.0</v>
      </c>
      <c r="N20" s="15">
        <v>8.3</v>
      </c>
      <c r="O20" s="15"/>
      <c r="P20" s="15">
        <v>9.5</v>
      </c>
      <c r="Q20" s="15"/>
      <c r="R20" s="15"/>
      <c r="S20" s="15">
        <v>9.0</v>
      </c>
      <c r="T20" s="15"/>
      <c r="U20" s="15">
        <v>1.0</v>
      </c>
      <c r="V20" s="15">
        <v>8.5</v>
      </c>
      <c r="W20" s="15">
        <v>1.0</v>
      </c>
      <c r="X20" s="15">
        <v>9.5</v>
      </c>
      <c r="Y20" s="15"/>
      <c r="Z20" s="15">
        <v>9.5</v>
      </c>
      <c r="AA20" s="15">
        <v>7.4</v>
      </c>
      <c r="AB20" s="15">
        <v>1.0</v>
      </c>
      <c r="AC20" s="15">
        <v>1.0</v>
      </c>
      <c r="AD20" s="15">
        <v>9.0</v>
      </c>
      <c r="AE20" s="15">
        <v>7.7</v>
      </c>
      <c r="AF20" s="15">
        <f t="shared" si="2"/>
        <v>9.125</v>
      </c>
      <c r="AG20" s="15">
        <f t="shared" si="3"/>
        <v>0.5555555556</v>
      </c>
      <c r="AH20" s="15">
        <f t="shared" si="4"/>
        <v>7.55</v>
      </c>
      <c r="AI20" s="15">
        <f t="shared" si="5"/>
        <v>8.420555556</v>
      </c>
    </row>
    <row r="21" ht="24.0" customHeight="1">
      <c r="A21" s="15" t="s">
        <v>100</v>
      </c>
      <c r="B21" s="15" t="s">
        <v>101</v>
      </c>
      <c r="C21" s="15" t="s">
        <v>102</v>
      </c>
      <c r="D21" s="16">
        <f>iferror(sumif(E21:AE21,"&lt;&gt;")/sumif(E21:AE21,"&lt;&gt;",E3:AE3),"")</f>
        <v>0.7963235294</v>
      </c>
      <c r="E21" s="15">
        <v>1.0</v>
      </c>
      <c r="F21" s="15">
        <v>1.0</v>
      </c>
      <c r="G21" s="15">
        <v>10.0</v>
      </c>
      <c r="H21" s="15">
        <v>1.0</v>
      </c>
      <c r="I21" s="15">
        <v>9.0</v>
      </c>
      <c r="J21" s="15">
        <v>1.0</v>
      </c>
      <c r="K21" s="15">
        <v>8.0</v>
      </c>
      <c r="L21" s="15"/>
      <c r="M21" s="15">
        <v>1.0</v>
      </c>
      <c r="N21" s="15">
        <v>4.5</v>
      </c>
      <c r="O21" s="15">
        <v>9.8</v>
      </c>
      <c r="P21" s="15">
        <v>9.5</v>
      </c>
      <c r="Q21" s="15"/>
      <c r="R21" s="15"/>
      <c r="S21" s="15">
        <v>9.0</v>
      </c>
      <c r="T21" s="15"/>
      <c r="U21" s="15">
        <v>1.0</v>
      </c>
      <c r="V21" s="15">
        <v>7.0</v>
      </c>
      <c r="W21" s="15"/>
      <c r="X21" s="15">
        <v>8.0</v>
      </c>
      <c r="Y21" s="15"/>
      <c r="Z21" s="15">
        <v>10.0</v>
      </c>
      <c r="AA21" s="15">
        <v>2.5</v>
      </c>
      <c r="AB21" s="15"/>
      <c r="AC21" s="15"/>
      <c r="AD21" s="15">
        <v>9.0</v>
      </c>
      <c r="AE21" s="15">
        <v>6.0</v>
      </c>
      <c r="AF21" s="15">
        <f t="shared" si="2"/>
        <v>8.5</v>
      </c>
      <c r="AG21" s="15">
        <f t="shared" si="3"/>
        <v>0.2222222222</v>
      </c>
      <c r="AH21" s="15">
        <f t="shared" si="4"/>
        <v>4.25</v>
      </c>
      <c r="AI21" s="15">
        <f t="shared" si="5"/>
        <v>5.322222222</v>
      </c>
    </row>
    <row r="22" ht="24.0" customHeight="1">
      <c r="A22" s="15" t="s">
        <v>103</v>
      </c>
      <c r="B22" s="15" t="s">
        <v>104</v>
      </c>
      <c r="C22" s="15" t="s">
        <v>105</v>
      </c>
      <c r="D22" s="16">
        <f>iferror(sumif(E22:AE22,"&lt;&gt;")/sumif(E22:AE22,"&lt;&gt;",E3:AE3),"")</f>
        <v>0.7354330709</v>
      </c>
      <c r="E22" s="15">
        <v>1.0</v>
      </c>
      <c r="F22" s="15">
        <v>1.0</v>
      </c>
      <c r="G22" s="15">
        <v>10.0</v>
      </c>
      <c r="H22" s="15">
        <v>1.0</v>
      </c>
      <c r="I22" s="15">
        <v>9.5</v>
      </c>
      <c r="J22" s="15">
        <v>1.0</v>
      </c>
      <c r="K22" s="15">
        <v>6.0</v>
      </c>
      <c r="L22" s="15"/>
      <c r="M22" s="15"/>
      <c r="N22" s="15">
        <v>4.9</v>
      </c>
      <c r="O22" s="15"/>
      <c r="P22" s="15">
        <v>9.5</v>
      </c>
      <c r="Q22" s="15">
        <v>1.0</v>
      </c>
      <c r="R22" s="15">
        <v>1.0</v>
      </c>
      <c r="S22" s="15">
        <v>8.0</v>
      </c>
      <c r="T22" s="15"/>
      <c r="U22" s="15"/>
      <c r="V22" s="15">
        <v>6.0</v>
      </c>
      <c r="W22" s="15"/>
      <c r="X22" s="15">
        <v>6.0</v>
      </c>
      <c r="Y22" s="15"/>
      <c r="Z22" s="15">
        <v>7.5</v>
      </c>
      <c r="AA22" s="15">
        <v>3.5</v>
      </c>
      <c r="AB22" s="15"/>
      <c r="AC22" s="15">
        <v>1.0</v>
      </c>
      <c r="AD22" s="15">
        <v>8.5</v>
      </c>
      <c r="AE22" s="15">
        <v>7.0</v>
      </c>
      <c r="AF22" s="15">
        <f t="shared" si="2"/>
        <v>7</v>
      </c>
      <c r="AG22" s="15">
        <f t="shared" si="3"/>
        <v>0.3333333333</v>
      </c>
      <c r="AH22" s="15">
        <f t="shared" si="4"/>
        <v>5.25</v>
      </c>
      <c r="AI22" s="15">
        <f t="shared" si="5"/>
        <v>5.933333333</v>
      </c>
    </row>
    <row r="23" ht="24.0" customHeight="1">
      <c r="A23" s="15" t="s">
        <v>106</v>
      </c>
      <c r="B23" s="15" t="s">
        <v>107</v>
      </c>
      <c r="C23" s="15" t="s">
        <v>108</v>
      </c>
      <c r="D23" s="16">
        <f>iferror(sumif(E23:AE23,"&lt;&gt;")/sumif(E23:AE23,"&lt;&gt;",E3:AE3),"")</f>
        <v>0.606097561</v>
      </c>
      <c r="E23" s="15"/>
      <c r="F23" s="15"/>
      <c r="G23" s="15">
        <v>8.0</v>
      </c>
      <c r="H23" s="15"/>
      <c r="I23" s="15">
        <v>9.0</v>
      </c>
      <c r="J23" s="15"/>
      <c r="K23" s="15">
        <v>6.0</v>
      </c>
      <c r="L23" s="15"/>
      <c r="M23" s="15">
        <v>1.0</v>
      </c>
      <c r="N23" s="15">
        <v>0.7</v>
      </c>
      <c r="O23" s="15">
        <v>8.0</v>
      </c>
      <c r="P23" s="15">
        <v>9.0</v>
      </c>
      <c r="Q23" s="15">
        <v>1.0</v>
      </c>
      <c r="R23" s="15"/>
      <c r="S23" s="15">
        <v>2.5</v>
      </c>
      <c r="T23" s="15"/>
      <c r="U23" s="15"/>
      <c r="V23" s="15"/>
      <c r="W23" s="15"/>
      <c r="X23" s="15"/>
      <c r="Y23" s="15"/>
      <c r="Z23" s="15"/>
      <c r="AA23" s="15">
        <v>4.5</v>
      </c>
      <c r="AB23" s="15"/>
      <c r="AC23" s="15"/>
      <c r="AD23" s="15"/>
      <c r="AE23" s="15"/>
      <c r="AF23" s="15">
        <f t="shared" si="2"/>
        <v>0</v>
      </c>
      <c r="AG23" s="15">
        <f t="shared" si="3"/>
        <v>0.2222222222</v>
      </c>
      <c r="AH23" s="15">
        <f t="shared" si="4"/>
        <v>2.25</v>
      </c>
      <c r="AI23" s="15">
        <f t="shared" si="5"/>
        <v>2.022222222</v>
      </c>
    </row>
    <row r="24" ht="24.0" customHeight="1">
      <c r="A24" s="15" t="s">
        <v>109</v>
      </c>
      <c r="B24" s="15" t="s">
        <v>110</v>
      </c>
      <c r="C24" s="15" t="s">
        <v>111</v>
      </c>
      <c r="D24" s="16">
        <f>iferror(sumif(E24:AE24,"&lt;&gt;")/sumif(E24:AE24,"&lt;&gt;",E3:AE3),"")</f>
        <v>0.7724770642</v>
      </c>
      <c r="E24" s="15">
        <v>1.0</v>
      </c>
      <c r="F24" s="15">
        <v>1.0</v>
      </c>
      <c r="G24" s="15">
        <v>10.0</v>
      </c>
      <c r="H24" s="15">
        <v>1.0</v>
      </c>
      <c r="I24" s="15">
        <v>10.0</v>
      </c>
      <c r="J24" s="15">
        <v>1.0</v>
      </c>
      <c r="K24" s="15">
        <v>5.0</v>
      </c>
      <c r="L24" s="15">
        <v>1.0</v>
      </c>
      <c r="M24" s="15"/>
      <c r="N24" s="15">
        <v>4.7</v>
      </c>
      <c r="O24" s="15">
        <v>9.8</v>
      </c>
      <c r="P24" s="15"/>
      <c r="Q24" s="15"/>
      <c r="R24" s="15"/>
      <c r="S24" s="15">
        <v>7.5</v>
      </c>
      <c r="T24" s="15">
        <v>1.0</v>
      </c>
      <c r="U24" s="15">
        <v>1.0</v>
      </c>
      <c r="V24" s="15"/>
      <c r="W24" s="15">
        <v>1.0</v>
      </c>
      <c r="X24" s="15">
        <v>8.5</v>
      </c>
      <c r="Y24" s="15"/>
      <c r="Z24" s="15">
        <v>9.0</v>
      </c>
      <c r="AA24" s="15">
        <v>4.5</v>
      </c>
      <c r="AB24" s="15">
        <v>1.0</v>
      </c>
      <c r="AC24" s="15"/>
      <c r="AD24" s="15"/>
      <c r="AE24" s="15">
        <v>6.2</v>
      </c>
      <c r="AF24" s="15">
        <f t="shared" si="2"/>
        <v>4.375</v>
      </c>
      <c r="AG24" s="15">
        <f t="shared" si="3"/>
        <v>0.4444444444</v>
      </c>
      <c r="AH24" s="15">
        <f t="shared" si="4"/>
        <v>5.35</v>
      </c>
      <c r="AI24" s="15">
        <f t="shared" si="5"/>
        <v>5.599444444</v>
      </c>
    </row>
    <row r="25" ht="24.0" customHeight="1">
      <c r="A25" s="15" t="s">
        <v>112</v>
      </c>
      <c r="B25" s="15" t="s">
        <v>113</v>
      </c>
      <c r="C25" s="15" t="s">
        <v>114</v>
      </c>
      <c r="D25" s="16">
        <f>iferror(sumif(E25:AE25,"&lt;&gt;")/sumif(E25:AE25,"&lt;&gt;",E3:AE3),"")</f>
        <v>0.9007092199</v>
      </c>
      <c r="E25" s="15">
        <v>1.0</v>
      </c>
      <c r="F25" s="15">
        <v>1.0</v>
      </c>
      <c r="G25" s="15">
        <v>10.0</v>
      </c>
      <c r="H25" s="15">
        <v>1.0</v>
      </c>
      <c r="I25" s="15">
        <v>10.0</v>
      </c>
      <c r="J25" s="15">
        <v>1.0</v>
      </c>
      <c r="K25" s="15">
        <v>10.0</v>
      </c>
      <c r="L25" s="15">
        <v>1.0</v>
      </c>
      <c r="M25" s="15">
        <v>1.0</v>
      </c>
      <c r="N25" s="15">
        <v>7.9</v>
      </c>
      <c r="O25" s="15">
        <v>9.8</v>
      </c>
      <c r="P25" s="15">
        <v>9.5</v>
      </c>
      <c r="Q25" s="15"/>
      <c r="R25" s="15"/>
      <c r="S25" s="15">
        <v>9.0</v>
      </c>
      <c r="T25" s="15">
        <v>1.0</v>
      </c>
      <c r="U25" s="15">
        <v>1.0</v>
      </c>
      <c r="V25" s="15">
        <v>8.0</v>
      </c>
      <c r="W25" s="15">
        <v>1.0</v>
      </c>
      <c r="X25" s="15">
        <v>9.5</v>
      </c>
      <c r="Y25" s="15">
        <v>1.0</v>
      </c>
      <c r="Z25" s="15">
        <v>9.5</v>
      </c>
      <c r="AA25" s="15">
        <v>5.0</v>
      </c>
      <c r="AB25" s="15"/>
      <c r="AC25" s="15">
        <v>1.0</v>
      </c>
      <c r="AD25" s="17">
        <v>9.5</v>
      </c>
      <c r="AE25" s="15">
        <v>8.3</v>
      </c>
      <c r="AF25" s="15">
        <f t="shared" si="2"/>
        <v>9.125</v>
      </c>
      <c r="AG25" s="15">
        <f t="shared" si="3"/>
        <v>0.6666666667</v>
      </c>
      <c r="AH25" s="15">
        <f t="shared" si="4"/>
        <v>6.65</v>
      </c>
      <c r="AI25" s="15">
        <f t="shared" si="5"/>
        <v>7.811666667</v>
      </c>
    </row>
    <row r="26" ht="24.0" customHeight="1">
      <c r="A26" s="15" t="s">
        <v>115</v>
      </c>
      <c r="B26" s="15" t="s">
        <v>116</v>
      </c>
      <c r="C26" s="15" t="s">
        <v>117</v>
      </c>
      <c r="D26" s="16">
        <f>iferror(sumif(E26:AE26,"&lt;&gt;")/sumif(E26:AE26,"&lt;&gt;",E3:AE3),"")</f>
        <v>0.6939393939</v>
      </c>
      <c r="E26" s="15"/>
      <c r="F26" s="15"/>
      <c r="G26" s="15">
        <v>9.5</v>
      </c>
      <c r="H26" s="15"/>
      <c r="I26" s="15">
        <v>9.0</v>
      </c>
      <c r="J26" s="15"/>
      <c r="K26" s="15">
        <v>8.0</v>
      </c>
      <c r="L26" s="15"/>
      <c r="M26" s="15">
        <v>1.0</v>
      </c>
      <c r="N26" s="15">
        <v>2.4</v>
      </c>
      <c r="O26" s="15">
        <v>10.0</v>
      </c>
      <c r="P26" s="15">
        <v>9.5</v>
      </c>
      <c r="Q26" s="15"/>
      <c r="R26" s="15"/>
      <c r="S26" s="15">
        <v>4.0</v>
      </c>
      <c r="T26" s="15"/>
      <c r="U26" s="15"/>
      <c r="V26" s="15">
        <v>9.0</v>
      </c>
      <c r="W26" s="15"/>
      <c r="X26" s="15">
        <v>5.0</v>
      </c>
      <c r="Y26" s="15"/>
      <c r="Z26" s="15">
        <v>10.0</v>
      </c>
      <c r="AA26" s="15">
        <v>3.2</v>
      </c>
      <c r="AB26" s="15"/>
      <c r="AC26" s="15">
        <v>1.0</v>
      </c>
      <c r="AD26" s="15">
        <v>9.0</v>
      </c>
      <c r="AE26" s="15">
        <v>1.0</v>
      </c>
      <c r="AF26" s="15">
        <f t="shared" si="2"/>
        <v>8.25</v>
      </c>
      <c r="AG26" s="15">
        <f t="shared" si="3"/>
        <v>0.2222222222</v>
      </c>
      <c r="AH26" s="15">
        <f t="shared" si="4"/>
        <v>2.1</v>
      </c>
      <c r="AI26" s="15">
        <f t="shared" si="5"/>
        <v>3.552222222</v>
      </c>
    </row>
    <row r="27" ht="24.0" customHeight="1">
      <c r="A27" s="15" t="s">
        <v>118</v>
      </c>
      <c r="B27" s="15" t="s">
        <v>119</v>
      </c>
      <c r="C27" s="15" t="s">
        <v>120</v>
      </c>
      <c r="D27" s="16">
        <f>iferror(sumif(E27:AE27,"&lt;&gt;")/sumif(E27:AE27,"&lt;&gt;",E3:AE3),"")</f>
        <v>0.7398058252</v>
      </c>
      <c r="E27" s="15">
        <v>1.0</v>
      </c>
      <c r="F27" s="15"/>
      <c r="G27" s="15">
        <v>10.0</v>
      </c>
      <c r="H27" s="15">
        <v>1.0</v>
      </c>
      <c r="I27" s="15">
        <v>9.5</v>
      </c>
      <c r="J27" s="15"/>
      <c r="K27" s="15">
        <v>8.0</v>
      </c>
      <c r="L27" s="15"/>
      <c r="M27" s="15"/>
      <c r="N27" s="15">
        <v>6.2</v>
      </c>
      <c r="O27" s="15"/>
      <c r="P27" s="15">
        <v>10.0</v>
      </c>
      <c r="Q27" s="15"/>
      <c r="R27" s="15"/>
      <c r="S27" s="15">
        <v>7.0</v>
      </c>
      <c r="T27" s="15"/>
      <c r="U27" s="15"/>
      <c r="V27" s="15">
        <v>8.0</v>
      </c>
      <c r="W27" s="15">
        <v>1.0</v>
      </c>
      <c r="X27" s="15"/>
      <c r="Y27" s="15"/>
      <c r="Z27" s="15">
        <v>9.0</v>
      </c>
      <c r="AA27" s="15">
        <v>3.5</v>
      </c>
      <c r="AB27" s="15"/>
      <c r="AC27" s="15"/>
      <c r="AD27" s="15"/>
      <c r="AE27" s="15">
        <v>2.0</v>
      </c>
      <c r="AF27" s="15">
        <f t="shared" si="2"/>
        <v>4.25</v>
      </c>
      <c r="AG27" s="15">
        <f t="shared" si="3"/>
        <v>0.1111111111</v>
      </c>
      <c r="AH27" s="15">
        <f t="shared" si="4"/>
        <v>2.75</v>
      </c>
      <c r="AI27" s="15">
        <f t="shared" si="5"/>
        <v>3.161111111</v>
      </c>
    </row>
    <row r="28" ht="24.0" customHeight="1">
      <c r="A28" s="15" t="s">
        <v>121</v>
      </c>
      <c r="B28" s="15" t="s">
        <v>122</v>
      </c>
      <c r="C28" s="15" t="s">
        <v>123</v>
      </c>
      <c r="D28" s="16">
        <f>iferror(sumif(E28:AE28,"&lt;&gt;")/sumif(E28:AE28,"&lt;&gt;",E3:AE3),"")</f>
        <v>0.9007751938</v>
      </c>
      <c r="E28" s="15">
        <v>1.0</v>
      </c>
      <c r="F28" s="15"/>
      <c r="G28" s="15">
        <v>10.0</v>
      </c>
      <c r="H28" s="15">
        <v>1.0</v>
      </c>
      <c r="I28" s="15">
        <v>9.5</v>
      </c>
      <c r="J28" s="15">
        <v>1.0</v>
      </c>
      <c r="K28" s="15">
        <v>10.0</v>
      </c>
      <c r="L28" s="15">
        <v>1.0</v>
      </c>
      <c r="M28" s="15">
        <v>1.0</v>
      </c>
      <c r="N28" s="15">
        <v>8.5</v>
      </c>
      <c r="O28" s="15">
        <v>10.0</v>
      </c>
      <c r="P28" s="15">
        <v>10.0</v>
      </c>
      <c r="Q28" s="15">
        <v>1.0</v>
      </c>
      <c r="R28" s="15"/>
      <c r="S28" s="15">
        <v>9.2</v>
      </c>
      <c r="T28" s="15">
        <v>1.0</v>
      </c>
      <c r="U28" s="15"/>
      <c r="V28" s="15"/>
      <c r="W28" s="15">
        <v>1.0</v>
      </c>
      <c r="X28" s="15">
        <v>10.0</v>
      </c>
      <c r="Y28" s="15">
        <v>1.0</v>
      </c>
      <c r="Z28" s="15">
        <v>9.5</v>
      </c>
      <c r="AA28" s="15">
        <v>4.5</v>
      </c>
      <c r="AB28" s="15"/>
      <c r="AC28" s="15"/>
      <c r="AD28" s="15">
        <v>9.5</v>
      </c>
      <c r="AE28" s="15">
        <v>6.5</v>
      </c>
      <c r="AF28" s="15">
        <f t="shared" si="2"/>
        <v>7.25</v>
      </c>
      <c r="AG28" s="15">
        <f t="shared" si="3"/>
        <v>0.5555555556</v>
      </c>
      <c r="AH28" s="15">
        <f t="shared" si="4"/>
        <v>5.5</v>
      </c>
      <c r="AI28" s="15">
        <f t="shared" si="5"/>
        <v>6.405555556</v>
      </c>
    </row>
    <row r="29" ht="24.0" customHeight="1">
      <c r="A29" s="15" t="s">
        <v>124</v>
      </c>
      <c r="B29" s="15" t="s">
        <v>125</v>
      </c>
      <c r="C29" s="15" t="s">
        <v>126</v>
      </c>
      <c r="D29" s="16">
        <f>iferror(sumif(E29:AE29,"&lt;&gt;")/sumif(E29:AE29,"&lt;&gt;",E3:AE3),"")</f>
        <v>0.8333333333</v>
      </c>
      <c r="E29" s="15">
        <v>1.0</v>
      </c>
      <c r="F29" s="15">
        <v>1.0</v>
      </c>
      <c r="G29" s="15">
        <v>10.0</v>
      </c>
      <c r="H29" s="15">
        <v>1.0</v>
      </c>
      <c r="I29" s="15">
        <v>10.0</v>
      </c>
      <c r="J29" s="15">
        <v>1.0</v>
      </c>
      <c r="K29" s="15">
        <v>10.0</v>
      </c>
      <c r="L29" s="15">
        <v>1.0</v>
      </c>
      <c r="M29" s="15">
        <v>1.0</v>
      </c>
      <c r="N29" s="15">
        <v>6.1</v>
      </c>
      <c r="O29" s="15">
        <v>9.5</v>
      </c>
      <c r="P29" s="15">
        <v>10.0</v>
      </c>
      <c r="Q29" s="15">
        <v>1.0</v>
      </c>
      <c r="R29" s="15"/>
      <c r="S29" s="15">
        <v>6.5</v>
      </c>
      <c r="T29" s="15"/>
      <c r="U29" s="15"/>
      <c r="V29" s="15">
        <v>8.0</v>
      </c>
      <c r="W29" s="15">
        <v>1.0</v>
      </c>
      <c r="X29" s="15">
        <v>7.0</v>
      </c>
      <c r="Y29" s="15"/>
      <c r="Z29" s="15">
        <v>8.0</v>
      </c>
      <c r="AA29" s="15">
        <v>5.9</v>
      </c>
      <c r="AB29" s="15"/>
      <c r="AC29" s="15"/>
      <c r="AD29" s="15">
        <v>9.5</v>
      </c>
      <c r="AE29" s="15">
        <v>6.5</v>
      </c>
      <c r="AF29" s="15">
        <f t="shared" si="2"/>
        <v>8.125</v>
      </c>
      <c r="AG29" s="15">
        <f t="shared" si="3"/>
        <v>0.3333333333</v>
      </c>
      <c r="AH29" s="15">
        <f t="shared" si="4"/>
        <v>6.2</v>
      </c>
      <c r="AI29" s="15">
        <f t="shared" si="5"/>
        <v>6.918333333</v>
      </c>
    </row>
    <row r="30" ht="24.0" customHeight="1">
      <c r="A30" s="15" t="s">
        <v>127</v>
      </c>
      <c r="B30" s="15" t="s">
        <v>128</v>
      </c>
      <c r="C30" s="15" t="s">
        <v>129</v>
      </c>
      <c r="D30" s="16">
        <f>iferror(sumif(E30:AE30,"&lt;&gt;")/sumif(E30:AE30,"&lt;&gt;",E3:AE3),"")</f>
        <v>0.4534883721</v>
      </c>
      <c r="E30" s="15"/>
      <c r="F30" s="15">
        <v>1.0</v>
      </c>
      <c r="G30" s="15">
        <v>9.0</v>
      </c>
      <c r="H30" s="15"/>
      <c r="I30" s="15"/>
      <c r="J30" s="15">
        <v>1.0</v>
      </c>
      <c r="K30" s="15"/>
      <c r="L30" s="15"/>
      <c r="M30" s="15">
        <v>1.0</v>
      </c>
      <c r="N30" s="15">
        <v>0.5</v>
      </c>
      <c r="O30" s="15"/>
      <c r="P30" s="15"/>
      <c r="Q30" s="15"/>
      <c r="R30" s="15"/>
      <c r="S30" s="15">
        <v>0.0</v>
      </c>
      <c r="T30" s="15"/>
      <c r="U30" s="15"/>
      <c r="V30" s="15">
        <v>7.0</v>
      </c>
      <c r="W30" s="15"/>
      <c r="X30" s="15"/>
      <c r="Y30" s="15"/>
      <c r="Z30" s="15"/>
      <c r="AA30" s="15"/>
      <c r="AB30" s="15"/>
      <c r="AC30" s="15"/>
      <c r="AD30" s="15"/>
      <c r="AE30" s="15"/>
      <c r="AF30" s="15">
        <f t="shared" si="2"/>
        <v>1.75</v>
      </c>
      <c r="AG30" s="15">
        <f t="shared" si="3"/>
        <v>0.1111111111</v>
      </c>
      <c r="AH30" s="15">
        <f t="shared" si="4"/>
        <v>0</v>
      </c>
      <c r="AI30" s="15">
        <f t="shared" si="5"/>
        <v>0.4611111111</v>
      </c>
    </row>
    <row r="31" ht="24.0" customHeight="1">
      <c r="A31" s="15" t="s">
        <v>130</v>
      </c>
      <c r="B31" s="15" t="s">
        <v>131</v>
      </c>
      <c r="C31" s="15" t="s">
        <v>132</v>
      </c>
      <c r="D31" s="16">
        <f>iferror(sumif(E31:AE31,"&lt;&gt;")/sumif(E31:AE31,"&lt;&gt;",E3:AE3),"")</f>
        <v>0.9255474453</v>
      </c>
      <c r="E31" s="15"/>
      <c r="F31" s="15">
        <v>1.0</v>
      </c>
      <c r="G31" s="15">
        <v>10.0</v>
      </c>
      <c r="H31" s="15">
        <v>1.0</v>
      </c>
      <c r="I31" s="15">
        <v>9.5</v>
      </c>
      <c r="J31" s="15">
        <v>1.0</v>
      </c>
      <c r="K31" s="15">
        <v>8.0</v>
      </c>
      <c r="L31" s="15"/>
      <c r="M31" s="15">
        <v>1.0</v>
      </c>
      <c r="N31" s="15">
        <v>8.8</v>
      </c>
      <c r="O31" s="15">
        <v>10.0</v>
      </c>
      <c r="P31" s="15">
        <v>9.5</v>
      </c>
      <c r="Q31" s="15">
        <v>1.0</v>
      </c>
      <c r="R31" s="15"/>
      <c r="S31" s="15">
        <v>9.0</v>
      </c>
      <c r="T31" s="15"/>
      <c r="U31" s="15"/>
      <c r="V31" s="15">
        <v>10.0</v>
      </c>
      <c r="W31" s="15"/>
      <c r="X31" s="15">
        <v>10.0</v>
      </c>
      <c r="Y31" s="15">
        <v>1.0</v>
      </c>
      <c r="Z31" s="15">
        <v>10.0</v>
      </c>
      <c r="AA31" s="15">
        <v>7.5</v>
      </c>
      <c r="AB31" s="15"/>
      <c r="AC31" s="15">
        <v>1.0</v>
      </c>
      <c r="AD31" s="15">
        <v>9.5</v>
      </c>
      <c r="AE31" s="15">
        <v>8.0</v>
      </c>
      <c r="AF31" s="15">
        <f t="shared" si="2"/>
        <v>9.875</v>
      </c>
      <c r="AG31" s="15">
        <f t="shared" si="3"/>
        <v>0.4444444444</v>
      </c>
      <c r="AH31" s="15">
        <f t="shared" si="4"/>
        <v>7.75</v>
      </c>
      <c r="AI31" s="15">
        <f t="shared" si="5"/>
        <v>8.619444444</v>
      </c>
    </row>
    <row r="32" ht="24.0" customHeight="1">
      <c r="A32" s="15" t="s">
        <v>133</v>
      </c>
      <c r="B32" s="15" t="s">
        <v>134</v>
      </c>
      <c r="C32" s="15" t="s">
        <v>135</v>
      </c>
      <c r="D32" s="16">
        <f>iferror(sumif(E32:AE32,"&lt;&gt;")/sumif(E32:AE32,"&lt;&gt;",E3:AE3),"")</f>
        <v>0.8744186047</v>
      </c>
      <c r="E32" s="15">
        <v>1.0</v>
      </c>
      <c r="F32" s="15">
        <v>1.0</v>
      </c>
      <c r="G32" s="15">
        <v>10.0</v>
      </c>
      <c r="H32" s="15">
        <v>1.0</v>
      </c>
      <c r="I32" s="15">
        <v>10.0</v>
      </c>
      <c r="J32" s="15">
        <v>1.0</v>
      </c>
      <c r="K32" s="15">
        <v>10.0</v>
      </c>
      <c r="L32" s="15">
        <v>1.0</v>
      </c>
      <c r="M32" s="15"/>
      <c r="N32" s="15">
        <v>8.2</v>
      </c>
      <c r="O32" s="15"/>
      <c r="P32" s="15">
        <v>10.0</v>
      </c>
      <c r="Q32" s="15"/>
      <c r="R32" s="15"/>
      <c r="S32" s="15">
        <v>8.0</v>
      </c>
      <c r="T32" s="15"/>
      <c r="U32" s="15">
        <v>1.0</v>
      </c>
      <c r="V32" s="15">
        <v>8.0</v>
      </c>
      <c r="W32" s="15">
        <v>1.0</v>
      </c>
      <c r="X32" s="15">
        <v>9.5</v>
      </c>
      <c r="Y32" s="15"/>
      <c r="Z32" s="15">
        <v>9.5</v>
      </c>
      <c r="AA32" s="15">
        <v>4.5</v>
      </c>
      <c r="AB32" s="15">
        <v>1.0</v>
      </c>
      <c r="AC32" s="15">
        <v>1.0</v>
      </c>
      <c r="AD32" s="17">
        <v>9.5</v>
      </c>
      <c r="AE32" s="15">
        <v>6.6</v>
      </c>
      <c r="AF32" s="15">
        <f t="shared" si="2"/>
        <v>9.125</v>
      </c>
      <c r="AG32" s="15">
        <f t="shared" si="3"/>
        <v>0.4444444444</v>
      </c>
      <c r="AH32" s="15">
        <f t="shared" si="4"/>
        <v>5.55</v>
      </c>
      <c r="AI32" s="15">
        <f t="shared" si="5"/>
        <v>6.709444444</v>
      </c>
    </row>
    <row r="33" ht="24.0" customHeight="1">
      <c r="A33" s="15" t="s">
        <v>136</v>
      </c>
      <c r="B33" s="15" t="s">
        <v>137</v>
      </c>
      <c r="C33" s="15" t="s">
        <v>138</v>
      </c>
      <c r="D33" s="16">
        <f>iferror(sumif(E33:AE33,"&lt;&gt;")/sumif(E33:AE33,"&lt;&gt;",E3:AE3),"")</f>
        <v>0.83515625</v>
      </c>
      <c r="E33" s="15">
        <v>1.0</v>
      </c>
      <c r="F33" s="15">
        <v>1.0</v>
      </c>
      <c r="G33" s="15">
        <v>8.5</v>
      </c>
      <c r="H33" s="15">
        <v>1.0</v>
      </c>
      <c r="I33" s="15">
        <v>10.0</v>
      </c>
      <c r="J33" s="15">
        <v>1.0</v>
      </c>
      <c r="K33" s="15">
        <v>8.0</v>
      </c>
      <c r="L33" s="15">
        <v>1.0</v>
      </c>
      <c r="M33" s="15"/>
      <c r="N33" s="15">
        <v>4.2</v>
      </c>
      <c r="O33" s="15"/>
      <c r="P33" s="15">
        <v>9.5</v>
      </c>
      <c r="Q33" s="15"/>
      <c r="R33" s="15"/>
      <c r="S33" s="15">
        <v>8.0</v>
      </c>
      <c r="T33" s="15">
        <v>1.0</v>
      </c>
      <c r="U33" s="15"/>
      <c r="V33" s="15">
        <v>9.5</v>
      </c>
      <c r="W33" s="15"/>
      <c r="X33" s="15">
        <v>9.5</v>
      </c>
      <c r="Y33" s="15">
        <v>1.0</v>
      </c>
      <c r="Z33" s="15">
        <v>9.0</v>
      </c>
      <c r="AA33" s="15">
        <v>5.5</v>
      </c>
      <c r="AB33" s="15"/>
      <c r="AC33" s="15">
        <v>1.0</v>
      </c>
      <c r="AD33" s="15">
        <v>9.5</v>
      </c>
      <c r="AE33" s="15">
        <v>7.7</v>
      </c>
      <c r="AF33" s="15">
        <f t="shared" si="2"/>
        <v>9.375</v>
      </c>
      <c r="AG33" s="15">
        <f t="shared" si="3"/>
        <v>0.3333333333</v>
      </c>
      <c r="AH33" s="15">
        <f t="shared" si="4"/>
        <v>6.6</v>
      </c>
      <c r="AI33" s="15">
        <f t="shared" si="5"/>
        <v>7.488333333</v>
      </c>
    </row>
    <row r="34" ht="24.0" customHeight="1">
      <c r="A34" s="15" t="s">
        <v>139</v>
      </c>
      <c r="B34" s="15" t="s">
        <v>140</v>
      </c>
      <c r="C34" s="15" t="s">
        <v>141</v>
      </c>
      <c r="D34" s="16">
        <f>iferror(sumif(E34:AE34,"&lt;&gt;")/sumif(E34:AE34,"&lt;&gt;",E3:AE3),"")</f>
        <v>0.7811594203</v>
      </c>
      <c r="E34" s="15"/>
      <c r="F34" s="15">
        <v>1.0</v>
      </c>
      <c r="G34" s="15">
        <v>10.0</v>
      </c>
      <c r="H34" s="15">
        <v>1.0</v>
      </c>
      <c r="I34" s="15">
        <v>9.5</v>
      </c>
      <c r="J34" s="15">
        <v>1.0</v>
      </c>
      <c r="K34" s="15">
        <v>6.0</v>
      </c>
      <c r="L34" s="15">
        <v>1.0</v>
      </c>
      <c r="M34" s="15"/>
      <c r="N34" s="15">
        <v>6.5</v>
      </c>
      <c r="O34" s="15">
        <v>8.5</v>
      </c>
      <c r="P34" s="15">
        <v>9.5</v>
      </c>
      <c r="Q34" s="15">
        <v>1.0</v>
      </c>
      <c r="R34" s="15"/>
      <c r="S34" s="15">
        <v>8.5</v>
      </c>
      <c r="T34" s="15"/>
      <c r="U34" s="15">
        <v>1.0</v>
      </c>
      <c r="V34" s="15">
        <v>7.5</v>
      </c>
      <c r="W34" s="15">
        <v>1.0</v>
      </c>
      <c r="X34" s="15">
        <v>7.5</v>
      </c>
      <c r="Y34" s="15">
        <v>1.0</v>
      </c>
      <c r="Z34" s="15">
        <v>8.0</v>
      </c>
      <c r="AA34" s="15">
        <v>2.5</v>
      </c>
      <c r="AB34" s="15"/>
      <c r="AC34" s="15"/>
      <c r="AD34" s="15">
        <v>9.5</v>
      </c>
      <c r="AE34" s="15">
        <v>6.3</v>
      </c>
      <c r="AF34" s="15">
        <f t="shared" si="2"/>
        <v>8.125</v>
      </c>
      <c r="AG34" s="15">
        <f t="shared" si="3"/>
        <v>0.4444444444</v>
      </c>
      <c r="AH34" s="15">
        <f t="shared" si="4"/>
        <v>4.4</v>
      </c>
      <c r="AI34" s="15">
        <f t="shared" si="5"/>
        <v>5.589444444</v>
      </c>
    </row>
    <row r="35" ht="24.0" customHeight="1">
      <c r="A35" s="15" t="s">
        <v>142</v>
      </c>
      <c r="B35" s="15" t="s">
        <v>143</v>
      </c>
      <c r="C35" s="15" t="s">
        <v>144</v>
      </c>
      <c r="D35" s="16">
        <f>iferror(sumif(E35:AE35,"&lt;&gt;")/sumif(E35:AE35,"&lt;&gt;",E3:AE3),"")</f>
        <v>0.6</v>
      </c>
      <c r="E35" s="15"/>
      <c r="F35" s="15"/>
      <c r="G35" s="15">
        <v>7.0</v>
      </c>
      <c r="H35" s="15"/>
      <c r="I35" s="15">
        <v>9.0</v>
      </c>
      <c r="J35" s="15"/>
      <c r="K35" s="15">
        <v>8.0</v>
      </c>
      <c r="L35" s="15"/>
      <c r="M35" s="15"/>
      <c r="N35" s="15">
        <v>0.0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>
        <f t="shared" si="2"/>
        <v>0</v>
      </c>
      <c r="AG35" s="15">
        <f t="shared" si="3"/>
        <v>0</v>
      </c>
      <c r="AH35" s="15">
        <f t="shared" si="4"/>
        <v>0</v>
      </c>
      <c r="AI35" s="15">
        <f t="shared" si="5"/>
        <v>0</v>
      </c>
    </row>
    <row r="36" ht="24.0" customHeight="1">
      <c r="A36" s="15" t="s">
        <v>1</v>
      </c>
      <c r="B36" s="15" t="s">
        <v>145</v>
      </c>
      <c r="C36" s="15" t="s">
        <v>146</v>
      </c>
      <c r="D36" s="16">
        <f>iferror(sumif(E36:AE36,"&lt;&gt;")/sumif(E36:AE36,"&lt;&gt;",E3:AE3),"")</f>
        <v>0.6674074074</v>
      </c>
      <c r="E36" s="15">
        <v>1.0</v>
      </c>
      <c r="F36" s="15">
        <v>1.0</v>
      </c>
      <c r="G36" s="15">
        <v>9.0</v>
      </c>
      <c r="H36" s="15">
        <v>1.0</v>
      </c>
      <c r="I36" s="15">
        <v>9.0</v>
      </c>
      <c r="J36" s="15"/>
      <c r="K36" s="15">
        <v>7.0</v>
      </c>
      <c r="L36" s="15"/>
      <c r="M36" s="15">
        <v>1.0</v>
      </c>
      <c r="N36" s="15">
        <v>0.5</v>
      </c>
      <c r="O36" s="15">
        <v>8.0</v>
      </c>
      <c r="P36" s="15">
        <v>9.5</v>
      </c>
      <c r="Q36" s="15"/>
      <c r="R36" s="15"/>
      <c r="S36" s="15">
        <v>6.6</v>
      </c>
      <c r="T36" s="15"/>
      <c r="U36" s="15"/>
      <c r="V36" s="15">
        <v>7.0</v>
      </c>
      <c r="W36" s="15">
        <v>1.0</v>
      </c>
      <c r="X36" s="15">
        <v>7.0</v>
      </c>
      <c r="Y36" s="15"/>
      <c r="Z36" s="15">
        <v>8.0</v>
      </c>
      <c r="AA36" s="15">
        <v>0.0</v>
      </c>
      <c r="AB36" s="15"/>
      <c r="AC36" s="15"/>
      <c r="AD36" s="15">
        <v>9.0</v>
      </c>
      <c r="AE36" s="15">
        <v>4.5</v>
      </c>
      <c r="AF36" s="15">
        <f t="shared" si="2"/>
        <v>7.75</v>
      </c>
      <c r="AG36" s="15">
        <f t="shared" si="3"/>
        <v>0.2222222222</v>
      </c>
      <c r="AH36" s="15">
        <f t="shared" si="4"/>
        <v>2.25</v>
      </c>
      <c r="AI36" s="15">
        <f t="shared" si="5"/>
        <v>3.572222222</v>
      </c>
    </row>
    <row r="37" ht="24.0" customHeight="1">
      <c r="A37" s="15" t="s">
        <v>147</v>
      </c>
      <c r="B37" s="15" t="s">
        <v>148</v>
      </c>
      <c r="C37" s="15" t="s">
        <v>149</v>
      </c>
      <c r="D37" s="16">
        <f>iferror(sumif(E37:AE37,"&lt;&gt;")/sumif(E37:AE37,"&lt;&gt;",E3:AE3),"")</f>
        <v>0.7849315068</v>
      </c>
      <c r="E37" s="15"/>
      <c r="F37" s="15"/>
      <c r="G37" s="15">
        <v>10.0</v>
      </c>
      <c r="H37" s="15">
        <v>1.0</v>
      </c>
      <c r="I37" s="15">
        <v>9.0</v>
      </c>
      <c r="J37" s="15">
        <v>1.0</v>
      </c>
      <c r="K37" s="15"/>
      <c r="L37" s="15"/>
      <c r="M37" s="15"/>
      <c r="N37" s="15">
        <v>6.8</v>
      </c>
      <c r="O37" s="15">
        <v>9.8</v>
      </c>
      <c r="P37" s="15">
        <v>10.0</v>
      </c>
      <c r="Q37" s="15"/>
      <c r="R37" s="15"/>
      <c r="S37" s="15">
        <v>7.7</v>
      </c>
      <c r="T37" s="15"/>
      <c r="U37" s="15"/>
      <c r="V37" s="15"/>
      <c r="W37" s="15">
        <v>1.0</v>
      </c>
      <c r="X37" s="15"/>
      <c r="Y37" s="15"/>
      <c r="Z37" s="15"/>
      <c r="AA37" s="15"/>
      <c r="AB37" s="15"/>
      <c r="AC37" s="15"/>
      <c r="AD37" s="15"/>
      <c r="AE37" s="15">
        <v>1.0</v>
      </c>
      <c r="AF37" s="15">
        <f t="shared" si="2"/>
        <v>0</v>
      </c>
      <c r="AG37" s="15">
        <f t="shared" si="3"/>
        <v>0.1111111111</v>
      </c>
      <c r="AH37" s="15">
        <f t="shared" si="4"/>
        <v>0.5</v>
      </c>
      <c r="AI37" s="15">
        <f t="shared" si="5"/>
        <v>0.5111111111</v>
      </c>
    </row>
    <row r="38" ht="24.0" customHeight="1">
      <c r="A38" s="15" t="s">
        <v>150</v>
      </c>
      <c r="B38" s="15" t="s">
        <v>151</v>
      </c>
      <c r="C38" s="15" t="s">
        <v>152</v>
      </c>
      <c r="D38" s="16">
        <f>iferror(sumif(E38:AE38,"&lt;&gt;")/sumif(E38:AE38,"&lt;&gt;",E3:AE3),"")</f>
        <v>0.847826087</v>
      </c>
      <c r="E38" s="15">
        <v>1.0</v>
      </c>
      <c r="F38" s="15">
        <v>1.0</v>
      </c>
      <c r="G38" s="15">
        <v>10.0</v>
      </c>
      <c r="H38" s="15">
        <v>1.0</v>
      </c>
      <c r="I38" s="15">
        <v>10.0</v>
      </c>
      <c r="J38" s="15"/>
      <c r="K38" s="15">
        <v>8.0</v>
      </c>
      <c r="L38" s="15">
        <v>1.0</v>
      </c>
      <c r="M38" s="15">
        <v>1.0</v>
      </c>
      <c r="N38" s="15">
        <v>9.0</v>
      </c>
      <c r="O38" s="15">
        <v>9.0</v>
      </c>
      <c r="P38" s="15">
        <v>9.5</v>
      </c>
      <c r="Q38" s="15"/>
      <c r="R38" s="15"/>
      <c r="S38" s="15">
        <v>8.0</v>
      </c>
      <c r="T38" s="15"/>
      <c r="U38" s="15"/>
      <c r="V38" s="15">
        <v>8.5</v>
      </c>
      <c r="W38" s="15">
        <v>1.0</v>
      </c>
      <c r="X38" s="15">
        <v>6.0</v>
      </c>
      <c r="Y38" s="15">
        <v>1.0</v>
      </c>
      <c r="Z38" s="15">
        <v>9.0</v>
      </c>
      <c r="AA38" s="15">
        <v>5.0</v>
      </c>
      <c r="AB38" s="15"/>
      <c r="AC38" s="15">
        <v>1.0</v>
      </c>
      <c r="AD38" s="15">
        <v>10.0</v>
      </c>
      <c r="AE38" s="15">
        <v>7.0</v>
      </c>
      <c r="AF38" s="15">
        <f t="shared" si="2"/>
        <v>8.375</v>
      </c>
      <c r="AG38" s="15">
        <f t="shared" si="3"/>
        <v>0.4444444444</v>
      </c>
      <c r="AH38" s="15">
        <f t="shared" si="4"/>
        <v>6</v>
      </c>
      <c r="AI38" s="15">
        <f t="shared" si="5"/>
        <v>6.919444444</v>
      </c>
    </row>
    <row r="39" ht="24.0" customHeight="1">
      <c r="A39" s="15" t="s">
        <v>153</v>
      </c>
      <c r="B39" s="15" t="s">
        <v>154</v>
      </c>
      <c r="C39" s="15" t="s">
        <v>155</v>
      </c>
      <c r="D39" s="16">
        <f>iferror(sumif(E39:AE39,"&lt;&gt;")/sumif(E39:AE39,"&lt;&gt;",E3:AE3),"")</f>
        <v>0.9397163121</v>
      </c>
      <c r="E39" s="15">
        <v>1.0</v>
      </c>
      <c r="F39" s="15">
        <v>1.0</v>
      </c>
      <c r="G39" s="15">
        <v>10.0</v>
      </c>
      <c r="H39" s="15">
        <v>1.0</v>
      </c>
      <c r="I39" s="15">
        <v>10.0</v>
      </c>
      <c r="J39" s="15">
        <v>1.0</v>
      </c>
      <c r="K39" s="15">
        <v>10.0</v>
      </c>
      <c r="L39" s="15"/>
      <c r="M39" s="15">
        <v>1.0</v>
      </c>
      <c r="N39" s="15">
        <v>9.3</v>
      </c>
      <c r="O39" s="15">
        <v>10.0</v>
      </c>
      <c r="P39" s="15">
        <v>10.0</v>
      </c>
      <c r="Q39" s="15">
        <v>1.0</v>
      </c>
      <c r="R39" s="15"/>
      <c r="S39" s="15">
        <v>9.2</v>
      </c>
      <c r="T39" s="15"/>
      <c r="U39" s="15">
        <v>1.0</v>
      </c>
      <c r="V39" s="15">
        <v>10.0</v>
      </c>
      <c r="W39" s="15">
        <v>1.0</v>
      </c>
      <c r="X39" s="15">
        <v>9.5</v>
      </c>
      <c r="Y39" s="15">
        <v>1.0</v>
      </c>
      <c r="Z39" s="15">
        <v>9.5</v>
      </c>
      <c r="AA39" s="15">
        <v>5.5</v>
      </c>
      <c r="AB39" s="15">
        <v>1.0</v>
      </c>
      <c r="AC39" s="15">
        <v>1.0</v>
      </c>
      <c r="AD39" s="15">
        <v>10.0</v>
      </c>
      <c r="AE39" s="15">
        <v>8.5</v>
      </c>
      <c r="AF39" s="15">
        <f t="shared" si="2"/>
        <v>9.75</v>
      </c>
      <c r="AG39" s="15">
        <f t="shared" si="3"/>
        <v>0.7777777778</v>
      </c>
      <c r="AH39" s="15">
        <f t="shared" si="4"/>
        <v>7</v>
      </c>
      <c r="AI39" s="15">
        <f t="shared" si="5"/>
        <v>8.327777778</v>
      </c>
    </row>
    <row r="40" ht="24.0" customHeight="1">
      <c r="A40" s="15" t="s">
        <v>156</v>
      </c>
      <c r="B40" s="15" t="s">
        <v>154</v>
      </c>
      <c r="C40" s="15" t="s">
        <v>157</v>
      </c>
      <c r="D40" s="16">
        <f>iferror(sumif(E40:AE40,"&lt;&gt;")/sumif(E40:AE40,"&lt;&gt;",E3:AE3),"")</f>
        <v>0.7157480315</v>
      </c>
      <c r="E40" s="15">
        <v>1.0</v>
      </c>
      <c r="F40" s="15"/>
      <c r="G40" s="15">
        <v>10.0</v>
      </c>
      <c r="H40" s="15">
        <v>1.0</v>
      </c>
      <c r="I40" s="15">
        <v>9.0</v>
      </c>
      <c r="J40" s="15"/>
      <c r="K40" s="15">
        <v>8.0</v>
      </c>
      <c r="L40" s="15">
        <v>1.0</v>
      </c>
      <c r="M40" s="15"/>
      <c r="N40" s="15">
        <v>3.2</v>
      </c>
      <c r="O40" s="15"/>
      <c r="P40" s="15">
        <v>8.0</v>
      </c>
      <c r="Q40" s="15">
        <v>1.0</v>
      </c>
      <c r="R40" s="15"/>
      <c r="S40" s="15">
        <v>8.2</v>
      </c>
      <c r="T40" s="15"/>
      <c r="U40" s="15">
        <v>1.0</v>
      </c>
      <c r="V40" s="15">
        <v>5.0</v>
      </c>
      <c r="W40" s="15"/>
      <c r="X40" s="15">
        <v>8.5</v>
      </c>
      <c r="Y40" s="15">
        <v>1.0</v>
      </c>
      <c r="Z40" s="15">
        <v>8.0</v>
      </c>
      <c r="AA40" s="15">
        <v>2.5</v>
      </c>
      <c r="AB40" s="15">
        <v>1.0</v>
      </c>
      <c r="AC40" s="15"/>
      <c r="AD40" s="15">
        <v>9.0</v>
      </c>
      <c r="AE40" s="15">
        <v>4.5</v>
      </c>
      <c r="AF40" s="15">
        <f t="shared" si="2"/>
        <v>7.625</v>
      </c>
      <c r="AG40" s="15">
        <f t="shared" si="3"/>
        <v>0.4444444444</v>
      </c>
      <c r="AH40" s="15">
        <f t="shared" si="4"/>
        <v>3.5</v>
      </c>
      <c r="AI40" s="15">
        <f t="shared" si="5"/>
        <v>4.769444444</v>
      </c>
    </row>
    <row r="41" ht="24.0" customHeight="1">
      <c r="A41" s="15" t="s">
        <v>158</v>
      </c>
      <c r="B41" s="15" t="s">
        <v>159</v>
      </c>
      <c r="C41" s="15" t="s">
        <v>160</v>
      </c>
      <c r="D41" s="16">
        <f>iferror(sumif(E41:AE41,"&lt;&gt;")/sumif(E41:AE41,"&lt;&gt;",E3:AE3),"")</f>
        <v>0.425</v>
      </c>
      <c r="E41" s="15"/>
      <c r="F41" s="15"/>
      <c r="G41" s="15">
        <v>8.5</v>
      </c>
      <c r="H41" s="15"/>
      <c r="I41" s="15"/>
      <c r="J41" s="15"/>
      <c r="K41" s="15"/>
      <c r="L41" s="15"/>
      <c r="M41" s="15"/>
      <c r="N41" s="15">
        <v>0.0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>
        <f t="shared" si="2"/>
        <v>0</v>
      </c>
      <c r="AG41" s="15">
        <f t="shared" si="3"/>
        <v>0</v>
      </c>
      <c r="AH41" s="15">
        <f t="shared" si="4"/>
        <v>0</v>
      </c>
      <c r="AI41" s="15">
        <f t="shared" si="5"/>
        <v>0</v>
      </c>
    </row>
    <row r="42" ht="24.0" customHeight="1">
      <c r="A42" s="15" t="s">
        <v>161</v>
      </c>
      <c r="B42" s="15" t="s">
        <v>162</v>
      </c>
      <c r="C42" s="15" t="s">
        <v>163</v>
      </c>
      <c r="D42" s="16">
        <f>iferror(sumif(E42:AE42,"&lt;&gt;")/sumif(E42:AE42,"&lt;&gt;",E3:AE3),"")</f>
        <v>0.7276785714</v>
      </c>
      <c r="E42" s="15"/>
      <c r="F42" s="15">
        <v>1.0</v>
      </c>
      <c r="G42" s="15">
        <v>10.0</v>
      </c>
      <c r="H42" s="15"/>
      <c r="I42" s="15">
        <v>9.0</v>
      </c>
      <c r="J42" s="15"/>
      <c r="K42" s="15">
        <v>8.0</v>
      </c>
      <c r="L42" s="15"/>
      <c r="M42" s="15"/>
      <c r="N42" s="15">
        <v>1.0</v>
      </c>
      <c r="O42" s="15"/>
      <c r="P42" s="15">
        <v>8.5</v>
      </c>
      <c r="Q42" s="15"/>
      <c r="R42" s="15"/>
      <c r="S42" s="15">
        <v>7.0</v>
      </c>
      <c r="T42" s="15"/>
      <c r="U42" s="15"/>
      <c r="V42" s="15">
        <v>9.5</v>
      </c>
      <c r="W42" s="15">
        <v>1.0</v>
      </c>
      <c r="X42" s="15"/>
      <c r="Y42" s="15"/>
      <c r="Z42" s="15">
        <v>9.0</v>
      </c>
      <c r="AA42" s="15">
        <v>3.5</v>
      </c>
      <c r="AB42" s="15"/>
      <c r="AC42" s="15"/>
      <c r="AD42" s="15">
        <v>9.0</v>
      </c>
      <c r="AE42" s="15">
        <v>5.0</v>
      </c>
      <c r="AF42" s="15">
        <f t="shared" si="2"/>
        <v>6.875</v>
      </c>
      <c r="AG42" s="15">
        <f t="shared" si="3"/>
        <v>0.1111111111</v>
      </c>
      <c r="AH42" s="15">
        <f t="shared" si="4"/>
        <v>4.25</v>
      </c>
      <c r="AI42" s="15">
        <f t="shared" si="5"/>
        <v>4.886111111</v>
      </c>
    </row>
    <row r="43" ht="24.0" customHeight="1">
      <c r="A43" s="15" t="s">
        <v>164</v>
      </c>
      <c r="B43" s="15" t="s">
        <v>165</v>
      </c>
      <c r="C43" s="15" t="s">
        <v>166</v>
      </c>
      <c r="D43" s="16">
        <f>iferror(sumif(E43:AE43,"&lt;&gt;")/sumif(E43:AE43,"&lt;&gt;",E3:AE3),"")</f>
        <v>0.8636363636</v>
      </c>
      <c r="E43" s="15">
        <v>1.0</v>
      </c>
      <c r="F43" s="15"/>
      <c r="G43" s="15">
        <v>8.5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>
        <f t="shared" si="2"/>
        <v>0</v>
      </c>
      <c r="AG43" s="15">
        <f t="shared" si="3"/>
        <v>0</v>
      </c>
      <c r="AH43" s="15">
        <f t="shared" si="4"/>
        <v>0</v>
      </c>
      <c r="AI43" s="15">
        <f t="shared" si="5"/>
        <v>0</v>
      </c>
    </row>
    <row r="44" ht="24.0" customHeight="1">
      <c r="A44" s="15" t="s">
        <v>167</v>
      </c>
      <c r="B44" s="15" t="s">
        <v>168</v>
      </c>
      <c r="C44" s="15" t="s">
        <v>169</v>
      </c>
      <c r="D44" s="16">
        <f>iferror(sumif(E44:AE44,"&lt;&gt;")/sumif(E44:AE44,"&lt;&gt;",E3:AE3),"")</f>
        <v>0.4807692308</v>
      </c>
      <c r="E44" s="15"/>
      <c r="F44" s="15">
        <v>1.0</v>
      </c>
      <c r="G44" s="15">
        <v>9.5</v>
      </c>
      <c r="H44" s="15"/>
      <c r="I44" s="15">
        <v>7.0</v>
      </c>
      <c r="J44" s="15">
        <v>1.0</v>
      </c>
      <c r="K44" s="15"/>
      <c r="L44" s="15"/>
      <c r="M44" s="15"/>
      <c r="N44" s="15">
        <v>0.5</v>
      </c>
      <c r="O44" s="15"/>
      <c r="P44" s="15">
        <v>3.0</v>
      </c>
      <c r="Q44" s="15"/>
      <c r="R44" s="15"/>
      <c r="S44" s="15">
        <v>3.0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>
        <f t="shared" si="2"/>
        <v>0</v>
      </c>
      <c r="AG44" s="15">
        <f t="shared" si="3"/>
        <v>0</v>
      </c>
      <c r="AH44" s="15">
        <f t="shared" si="4"/>
        <v>0</v>
      </c>
      <c r="AI44" s="15">
        <f t="shared" si="5"/>
        <v>0</v>
      </c>
    </row>
    <row r="45" ht="24.0" customHeight="1">
      <c r="A45" s="15" t="s">
        <v>170</v>
      </c>
      <c r="B45" s="15" t="s">
        <v>171</v>
      </c>
      <c r="C45" s="15" t="s">
        <v>172</v>
      </c>
      <c r="D45" s="16">
        <f>iferror(sumif(E45:AE45,"&lt;&gt;")/sumif(E45:AE45,"&lt;&gt;",E3:AE3),"")</f>
        <v>0.3963414634</v>
      </c>
      <c r="E45" s="15"/>
      <c r="F45" s="15"/>
      <c r="G45" s="15">
        <v>6.0</v>
      </c>
      <c r="H45" s="15"/>
      <c r="I45" s="15">
        <v>4.0</v>
      </c>
      <c r="J45" s="15">
        <v>1.0</v>
      </c>
      <c r="K45" s="15"/>
      <c r="L45" s="15"/>
      <c r="M45" s="15"/>
      <c r="N45" s="15">
        <v>0.0</v>
      </c>
      <c r="O45" s="15"/>
      <c r="P45" s="15"/>
      <c r="Q45" s="15"/>
      <c r="R45" s="15"/>
      <c r="S45" s="15">
        <v>4.0</v>
      </c>
      <c r="T45" s="15"/>
      <c r="U45" s="15"/>
      <c r="V45" s="15"/>
      <c r="W45" s="15"/>
      <c r="X45" s="15"/>
      <c r="Y45" s="15"/>
      <c r="Z45" s="15">
        <v>5.0</v>
      </c>
      <c r="AA45" s="15">
        <v>2.5</v>
      </c>
      <c r="AB45" s="15"/>
      <c r="AC45" s="15">
        <v>1.0</v>
      </c>
      <c r="AD45" s="15">
        <v>8.5</v>
      </c>
      <c r="AE45" s="15">
        <v>0.5</v>
      </c>
      <c r="AF45" s="15">
        <f t="shared" si="2"/>
        <v>3.375</v>
      </c>
      <c r="AG45" s="15">
        <f t="shared" si="3"/>
        <v>0.1111111111</v>
      </c>
      <c r="AH45" s="15">
        <f t="shared" si="4"/>
        <v>1.5</v>
      </c>
      <c r="AI45" s="15">
        <f t="shared" si="5"/>
        <v>1.986111111</v>
      </c>
    </row>
    <row r="46" ht="24.0" customHeight="1">
      <c r="A46" s="15" t="s">
        <v>173</v>
      </c>
      <c r="B46" s="15" t="s">
        <v>174</v>
      </c>
      <c r="C46" s="15" t="s">
        <v>175</v>
      </c>
      <c r="D46" s="16">
        <f>iferror(sumif(E46:AE46,"&lt;&gt;")/sumif(E46:AE46,"&lt;&gt;",E3:AE3),"")</f>
        <v>0.7414285714</v>
      </c>
      <c r="E46" s="15">
        <v>1.0</v>
      </c>
      <c r="F46" s="15">
        <v>1.0</v>
      </c>
      <c r="G46" s="15">
        <v>9.5</v>
      </c>
      <c r="H46" s="15"/>
      <c r="I46" s="15">
        <v>8.0</v>
      </c>
      <c r="J46" s="15">
        <v>1.0</v>
      </c>
      <c r="K46" s="15">
        <v>8.0</v>
      </c>
      <c r="L46" s="15">
        <v>1.0</v>
      </c>
      <c r="M46" s="15">
        <v>1.0</v>
      </c>
      <c r="N46" s="15">
        <v>1.7</v>
      </c>
      <c r="O46" s="15">
        <v>8.5</v>
      </c>
      <c r="P46" s="15">
        <v>9.5</v>
      </c>
      <c r="Q46" s="15">
        <v>1.0</v>
      </c>
      <c r="R46" s="15"/>
      <c r="S46" s="15">
        <v>6.5</v>
      </c>
      <c r="T46" s="15">
        <v>1.0</v>
      </c>
      <c r="U46" s="15"/>
      <c r="V46" s="15">
        <v>8.0</v>
      </c>
      <c r="W46" s="15">
        <v>1.0</v>
      </c>
      <c r="X46" s="15">
        <v>9.0</v>
      </c>
      <c r="Y46" s="15">
        <v>1.0</v>
      </c>
      <c r="Z46" s="15">
        <v>8.0</v>
      </c>
      <c r="AA46" s="15">
        <v>3.4</v>
      </c>
      <c r="AB46" s="15"/>
      <c r="AC46" s="15">
        <v>1.0</v>
      </c>
      <c r="AD46" s="15">
        <v>9.0</v>
      </c>
      <c r="AE46" s="15">
        <v>4.7</v>
      </c>
      <c r="AF46" s="15">
        <f t="shared" si="2"/>
        <v>8.5</v>
      </c>
      <c r="AG46" s="15">
        <f t="shared" si="3"/>
        <v>0.6666666667</v>
      </c>
      <c r="AH46" s="15">
        <f t="shared" si="4"/>
        <v>4.05</v>
      </c>
      <c r="AI46" s="15">
        <f t="shared" si="5"/>
        <v>5.606666667</v>
      </c>
    </row>
    <row r="47" ht="24.0" customHeight="1">
      <c r="A47" s="15" t="s">
        <v>176</v>
      </c>
      <c r="B47" s="15" t="s">
        <v>177</v>
      </c>
      <c r="C47" s="15" t="s">
        <v>178</v>
      </c>
      <c r="D47" s="16">
        <f>iferror(sumif(E47:AE47,"&lt;&gt;")/sumif(E47:AE47,"&lt;&gt;",E3:AE3),"")</f>
        <v>0.25</v>
      </c>
      <c r="E47" s="15"/>
      <c r="F47" s="15">
        <v>1.0</v>
      </c>
      <c r="G47" s="15"/>
      <c r="H47" s="15"/>
      <c r="I47" s="15"/>
      <c r="J47" s="15"/>
      <c r="K47" s="15"/>
      <c r="L47" s="15"/>
      <c r="M47" s="15">
        <v>1.0</v>
      </c>
      <c r="N47" s="15">
        <v>0.0</v>
      </c>
      <c r="O47" s="15"/>
      <c r="P47" s="15"/>
      <c r="Q47" s="15"/>
      <c r="R47" s="15"/>
      <c r="S47" s="15">
        <v>0.0</v>
      </c>
      <c r="T47" s="15"/>
      <c r="U47" s="15"/>
      <c r="V47" s="15">
        <v>6.0</v>
      </c>
      <c r="W47" s="15"/>
      <c r="X47" s="15"/>
      <c r="Y47" s="15"/>
      <c r="Z47" s="15"/>
      <c r="AA47" s="15"/>
      <c r="AB47" s="15"/>
      <c r="AC47" s="15"/>
      <c r="AD47" s="15"/>
      <c r="AE47" s="15"/>
      <c r="AF47" s="15">
        <f t="shared" si="2"/>
        <v>1.5</v>
      </c>
      <c r="AG47" s="15">
        <f t="shared" si="3"/>
        <v>0.1111111111</v>
      </c>
      <c r="AH47" s="15">
        <f t="shared" si="4"/>
        <v>0</v>
      </c>
      <c r="AI47" s="15">
        <f t="shared" si="5"/>
        <v>0.4111111111</v>
      </c>
    </row>
    <row r="48" ht="24.0" customHeight="1">
      <c r="A48" s="15" t="s">
        <v>179</v>
      </c>
      <c r="B48" s="15" t="s">
        <v>180</v>
      </c>
      <c r="C48" s="15" t="s">
        <v>181</v>
      </c>
      <c r="D48" s="16">
        <f>iferror(sumif(E48:AE48,"&lt;&gt;")/sumif(E48:AE48,"&lt;&gt;",E3:AE3),"")</f>
        <v>0.7089285714</v>
      </c>
      <c r="E48" s="15"/>
      <c r="F48" s="15">
        <v>1.0</v>
      </c>
      <c r="G48" s="15">
        <v>9.8</v>
      </c>
      <c r="H48" s="15"/>
      <c r="I48" s="15">
        <v>9.5</v>
      </c>
      <c r="J48" s="15">
        <v>1.0</v>
      </c>
      <c r="K48" s="15">
        <v>10.0</v>
      </c>
      <c r="L48" s="15"/>
      <c r="M48" s="15"/>
      <c r="N48" s="15">
        <v>2.0</v>
      </c>
      <c r="O48" s="15"/>
      <c r="P48" s="15"/>
      <c r="Q48" s="15"/>
      <c r="R48" s="15"/>
      <c r="S48" s="15">
        <v>5.4</v>
      </c>
      <c r="T48" s="15"/>
      <c r="U48" s="15"/>
      <c r="V48" s="15">
        <v>7.0</v>
      </c>
      <c r="W48" s="15"/>
      <c r="X48" s="15">
        <v>5.0</v>
      </c>
      <c r="Y48" s="15"/>
      <c r="Z48" s="15">
        <v>9.0</v>
      </c>
      <c r="AA48" s="15">
        <v>3.7</v>
      </c>
      <c r="AB48" s="15"/>
      <c r="AC48" s="15"/>
      <c r="AD48" s="15">
        <v>9.0</v>
      </c>
      <c r="AE48" s="15">
        <v>7.0</v>
      </c>
      <c r="AF48" s="15">
        <f t="shared" si="2"/>
        <v>7.5</v>
      </c>
      <c r="AG48" s="15">
        <f t="shared" si="3"/>
        <v>0</v>
      </c>
      <c r="AH48" s="15">
        <f t="shared" si="4"/>
        <v>5.35</v>
      </c>
      <c r="AI48" s="15">
        <f t="shared" si="5"/>
        <v>5.78</v>
      </c>
    </row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