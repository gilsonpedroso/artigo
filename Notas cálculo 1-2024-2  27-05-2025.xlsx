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0" sheetId="1" r:id="rId5"/>
  </sheets>
  <definedNames/>
  <calcPr/>
</workbook>
</file>

<file path=xl/sharedStrings.xml><?xml version="1.0" encoding="utf-8"?>
<sst xmlns="http://schemas.openxmlformats.org/spreadsheetml/2006/main" count="235" uniqueCount="185">
  <si>
    <t>cálculo 1-2024-2</t>
  </si>
  <si>
    <t/>
  </si>
  <si>
    <t>11 de fev.</t>
  </si>
  <si>
    <t>13 de fev.</t>
  </si>
  <si>
    <t>20 de fev.</t>
  </si>
  <si>
    <t>25 de fev.</t>
  </si>
  <si>
    <t>27 de fev.</t>
  </si>
  <si>
    <t>18 de mar.</t>
  </si>
  <si>
    <t>20 de mar.</t>
  </si>
  <si>
    <t>25 de mar.</t>
  </si>
  <si>
    <t>28 de mar.</t>
  </si>
  <si>
    <t>01 de abr.</t>
  </si>
  <si>
    <t>03 de abr.</t>
  </si>
  <si>
    <t>08 de abr.</t>
  </si>
  <si>
    <t>10 de abr.</t>
  </si>
  <si>
    <t>15 de abr.</t>
  </si>
  <si>
    <t>24 de abr.</t>
  </si>
  <si>
    <t>05 de mai.</t>
  </si>
  <si>
    <t>15 de mai.</t>
  </si>
  <si>
    <t>27 de mai.</t>
  </si>
  <si>
    <t>Q7</t>
  </si>
  <si>
    <t>prova 1</t>
  </si>
  <si>
    <t>Q1</t>
  </si>
  <si>
    <t>Q2</t>
  </si>
  <si>
    <t>lista 1</t>
  </si>
  <si>
    <t>lista 2</t>
  </si>
  <si>
    <t>Q3</t>
  </si>
  <si>
    <t>lista 3</t>
  </si>
  <si>
    <t>Q4</t>
  </si>
  <si>
    <t>Q5</t>
  </si>
  <si>
    <t>lista 4</t>
  </si>
  <si>
    <t>lista 5</t>
  </si>
  <si>
    <t>Q6</t>
  </si>
  <si>
    <t>prova 2</t>
  </si>
  <si>
    <t>Q8</t>
  </si>
  <si>
    <t>Q9</t>
  </si>
  <si>
    <t>lista 6</t>
  </si>
  <si>
    <t>lista 7</t>
  </si>
  <si>
    <t>Q10</t>
  </si>
  <si>
    <t>prova 3</t>
  </si>
  <si>
    <t>lista 8</t>
  </si>
  <si>
    <t>lista 9</t>
  </si>
  <si>
    <t>prova 4</t>
  </si>
  <si>
    <t>Média da turma</t>
  </si>
  <si>
    <t>listas</t>
  </si>
  <si>
    <t>prova</t>
  </si>
  <si>
    <t>extra</t>
  </si>
  <si>
    <t>ab2</t>
  </si>
  <si>
    <t>DIAS CARDOSO</t>
  </si>
  <si>
    <t>ALMIR</t>
  </si>
  <si>
    <t>adc3@aluno.ifal.edu.br</t>
  </si>
  <si>
    <t>Santos da Silva</t>
  </si>
  <si>
    <t>Adriele Gabriela</t>
  </si>
  <si>
    <t>agss@ic.ufal.br</t>
  </si>
  <si>
    <t>Campos Matos Neto</t>
  </si>
  <si>
    <t>Agnaldo</t>
  </si>
  <si>
    <t>agnaldocamposmatosneto@gmail.com</t>
  </si>
  <si>
    <t>Souza</t>
  </si>
  <si>
    <t>Ana</t>
  </si>
  <si>
    <t>ana.lea@ctec.ufal.br</t>
  </si>
  <si>
    <t>da Silva Filho</t>
  </si>
  <si>
    <t>Antonio Sergio</t>
  </si>
  <si>
    <t>asdf@ic.ufal.br</t>
  </si>
  <si>
    <t>Alfredo de Freitas Silva</t>
  </si>
  <si>
    <t>Arthur</t>
  </si>
  <si>
    <t>arthuralfredo01@gmail.com</t>
  </si>
  <si>
    <t>Araujo</t>
  </si>
  <si>
    <t>Carlos</t>
  </si>
  <si>
    <t>carlos.araujo@ctec.ufal.br</t>
  </si>
  <si>
    <t>Davi Amorim Mendes</t>
  </si>
  <si>
    <t>davi.amorim.mendes.082@gmail.com</t>
  </si>
  <si>
    <t>Silva Costa</t>
  </si>
  <si>
    <t>Eduarda Augusta</t>
  </si>
  <si>
    <t>seduardaaugusta@gmail.com</t>
  </si>
  <si>
    <t>Silva</t>
  </si>
  <si>
    <t>Ellen</t>
  </si>
  <si>
    <t>ellen.silva@ctec.ufal.br</t>
  </si>
  <si>
    <t>dos Santos Sobral</t>
  </si>
  <si>
    <t>Flavia Mirelly</t>
  </si>
  <si>
    <t>fmss@ic.ufal.br</t>
  </si>
  <si>
    <t>Fábio</t>
  </si>
  <si>
    <t>fabioctbrandao123@gmail.com</t>
  </si>
  <si>
    <t>Jatobá</t>
  </si>
  <si>
    <t>Gabriel</t>
  </si>
  <si>
    <t>ogabrieljatoba@gmail.com</t>
  </si>
  <si>
    <t>Coutinho</t>
  </si>
  <si>
    <t>Gabriela</t>
  </si>
  <si>
    <t>gabriela.coutinho@ctec.ufal.br</t>
  </si>
  <si>
    <t>Santos de Azevedo</t>
  </si>
  <si>
    <t>Giovanna</t>
  </si>
  <si>
    <t>gsa@ic.ufal.br</t>
  </si>
  <si>
    <t>Guilherme</t>
  </si>
  <si>
    <t>guilhermegabrielcs1@gmail.com</t>
  </si>
  <si>
    <t>Avelino Martins</t>
  </si>
  <si>
    <t>Gustavo</t>
  </si>
  <si>
    <t>gam@ic.ufal.br</t>
  </si>
  <si>
    <t>Filho</t>
  </si>
  <si>
    <t>Helder</t>
  </si>
  <si>
    <t>helder.filho@ctec.ufal.br</t>
  </si>
  <si>
    <t>Cidreira Tenório</t>
  </si>
  <si>
    <t>Ian Carlos</t>
  </si>
  <si>
    <t>iancarlosct@gmail.com</t>
  </si>
  <si>
    <t>Victor</t>
  </si>
  <si>
    <t>Jackson</t>
  </si>
  <si>
    <t>ajjacksonvitor2020@gmail.com</t>
  </si>
  <si>
    <t>Mateus</t>
  </si>
  <si>
    <t>Joenderson</t>
  </si>
  <si>
    <t>joendersonmateus82@gmail.com</t>
  </si>
  <si>
    <t>Da Silva Ferreira</t>
  </si>
  <si>
    <t>Jorge Guilherme</t>
  </si>
  <si>
    <t>guilherme.jorge2006@gmail.com</t>
  </si>
  <si>
    <t>Cunha</t>
  </si>
  <si>
    <t>Jose</t>
  </si>
  <si>
    <t>jose.cunha@ctec.ufal.br</t>
  </si>
  <si>
    <t>Oliveira de Araújo</t>
  </si>
  <si>
    <t>João Pablo</t>
  </si>
  <si>
    <t>jpoa@ic.ufal.br</t>
  </si>
  <si>
    <t>Teobaldo de Almeida Santos</t>
  </si>
  <si>
    <t>Jéssica</t>
  </si>
  <si>
    <t>jtas@ic.ufal.br</t>
  </si>
  <si>
    <t>Valerio</t>
  </si>
  <si>
    <t>Kauan</t>
  </si>
  <si>
    <t>kauanvalerio.araujo@gmail.com</t>
  </si>
  <si>
    <t>Menezes</t>
  </si>
  <si>
    <t>Kenelly</t>
  </si>
  <si>
    <t>kenelly.menezes@ctec.ufal.br</t>
  </si>
  <si>
    <t>Kauê</t>
  </si>
  <si>
    <t>Lauan</t>
  </si>
  <si>
    <t>lauan.k25@gmail.com</t>
  </si>
  <si>
    <t>Holanda Sodré de Brito Silva</t>
  </si>
  <si>
    <t>Lorenzo</t>
  </si>
  <si>
    <t>lhsbs@ic.ufal.br</t>
  </si>
  <si>
    <t>Santos Ferro</t>
  </si>
  <si>
    <t>Luana Marina</t>
  </si>
  <si>
    <t>lmsf@ic.ufal.br</t>
  </si>
  <si>
    <t>Lopes Pereira</t>
  </si>
  <si>
    <t>Lucitânia</t>
  </si>
  <si>
    <t>llp@ic.ufal.br</t>
  </si>
  <si>
    <t>Bohrer Studart</t>
  </si>
  <si>
    <t>Matheus</t>
  </si>
  <si>
    <t>mbs3@ic.ufal.br</t>
  </si>
  <si>
    <t>Teles dos Santos</t>
  </si>
  <si>
    <t>Miguel Ângelo</t>
  </si>
  <si>
    <t>mats2@ic.ufal.br</t>
  </si>
  <si>
    <t>Gomes Dos Santos</t>
  </si>
  <si>
    <t>Mírian Natália</t>
  </si>
  <si>
    <t>mngs@ic.ufal.br</t>
  </si>
  <si>
    <t>Pereira</t>
  </si>
  <si>
    <t>Nadyne</t>
  </si>
  <si>
    <t>nadyne.pereira@ctec.ufal.br</t>
  </si>
  <si>
    <t>Yan</t>
  </si>
  <si>
    <t>Nicolas</t>
  </si>
  <si>
    <t>nicolas07.yan@gmail.com</t>
  </si>
  <si>
    <t>Heloísa</t>
  </si>
  <si>
    <t>Nicole</t>
  </si>
  <si>
    <t>estudosnicoleheloisa@gmail.com</t>
  </si>
  <si>
    <t>Santos</t>
  </si>
  <si>
    <t>Paulo</t>
  </si>
  <si>
    <t>paulo.bomfim@ctec.ufal.br</t>
  </si>
  <si>
    <t>Jorge</t>
  </si>
  <si>
    <t>Pedro</t>
  </si>
  <si>
    <t>pedrojorge786@gmail.com</t>
  </si>
  <si>
    <t>Farias de Oliveira</t>
  </si>
  <si>
    <t>Pedro Henrique</t>
  </si>
  <si>
    <t>phfo@ic.ufal.br</t>
  </si>
  <si>
    <t>Da Silva Sales</t>
  </si>
  <si>
    <t>Ryan Gabriel</t>
  </si>
  <si>
    <t>rgss@ic.ufal.br</t>
  </si>
  <si>
    <t>Brederodes do Rêgo Barros</t>
  </si>
  <si>
    <t>Samuel</t>
  </si>
  <si>
    <t>sbrb@ic.ufal.br</t>
  </si>
  <si>
    <t>Thiago</t>
  </si>
  <si>
    <t>thiago.araujo@ctec.ufal.br</t>
  </si>
  <si>
    <t>Moura Amaral de Oliveira</t>
  </si>
  <si>
    <t xml:space="preserve">Victor </t>
  </si>
  <si>
    <t>vmao@ic.ufal.br</t>
  </si>
  <si>
    <t>Santana Martins</t>
  </si>
  <si>
    <t>Vinícius</t>
  </si>
  <si>
    <t>viniciusantana76@gmail.com</t>
  </si>
  <si>
    <t>Livia</t>
  </si>
  <si>
    <t>Vitoria</t>
  </si>
  <si>
    <t>vl507472@gmail.com</t>
  </si>
  <si>
    <t>vitoria.livia@ctec.ufal.br</t>
  </si>
  <si>
    <t>Wedja</t>
  </si>
  <si>
    <t>wedja.santos@ctec.ufal.br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</si>
</sst>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0.0#%"/>
    <numFmt numFmtId="165" formatCode="0.0#"/>
  </numFmts>
  <fonts count="10">
    <font>
      <sz val="11.0"/>
      <color rgb="FF000000"/>
      <name val="Calibri"/>
      <scheme val="minor"/>
    </font>
    <font>
      <b/>
      <sz val="14.0"/>
      <color rgb="FFFFFFFF"/>
      <name val="Roboto"/>
    </font>
    <font>
      <sz val="10.0"/>
      <color rgb="FFFFFFFF"/>
      <name val="Roboto"/>
    </font>
    <font>
      <sz val="14.0"/>
      <color rgb="FFFFFFFF"/>
      <name val="Roboto"/>
    </font>
    <font>
      <b/>
      <sz val="10.0"/>
      <color rgb="FFFFFFFF"/>
      <name val="Roboto"/>
    </font>
    <font>
      <u/>
      <sz val="10.0"/>
      <color rgb="FFFFFFFF"/>
      <name val="Arial"/>
    </font>
    <font>
      <sz val="10.0"/>
      <color rgb="FFFFFFFF"/>
      <name val="Arial"/>
    </font>
    <font>
      <b/>
      <sz val="10.0"/>
      <color theme="1"/>
      <name val="Roboto"/>
    </font>
    <font>
      <sz val="10.0"/>
      <color rgb="FF808080"/>
      <name val="Roboto"/>
    </font>
    <font>
      <sz val="10.0"/>
      <color theme="1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1E8E3E"/>
        <bgColor rgb="FF1E8E3E"/>
      </patternFill>
    </fill>
    <fill>
      <patternFill patternType="solid">
        <fgColor rgb="FF434343"/>
        <bgColor rgb="FF434343"/>
      </patternFill>
    </fill>
    <fill>
      <patternFill patternType="solid">
        <fgColor rgb="FFEEEEEE"/>
        <bgColor rgb="FFEEEEEE"/>
      </patternFill>
    </fill>
  </fills>
  <borders count="3">
    <border/>
    <border>
      <left style="thin">
        <color rgb="FF1E8E3E"/>
      </left>
      <right style="thin">
        <color rgb="FF1E8E3E"/>
      </right>
      <top style="thin">
        <color rgb="FF1E8E3E"/>
      </top>
      <bottom style="thin">
        <color rgb="FF1E8E3E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1" fillId="2" fontId="2" numFmtId="0" xfId="0" applyAlignment="1" applyBorder="1" applyFont="1">
      <alignment horizontal="left" vertical="center"/>
    </xf>
    <xf borderId="0" fillId="2" fontId="2" numFmtId="0" xfId="0" applyAlignment="1" applyFont="1">
      <alignment horizontal="left" vertical="center"/>
    </xf>
    <xf borderId="1" fillId="2" fontId="3" numFmtId="0" xfId="0" applyAlignment="1" applyBorder="1" applyFont="1">
      <alignment horizontal="left" vertical="center"/>
    </xf>
    <xf borderId="1" fillId="2" fontId="4" numFmtId="0" xfId="0" applyAlignment="1" applyBorder="1" applyFont="1">
      <alignment horizontal="left" shrinkToFit="0" vertical="center" wrapText="1"/>
    </xf>
    <xf borderId="0" fillId="2" fontId="4" numFmtId="0" xfId="0" applyAlignment="1" applyFont="1">
      <alignment horizontal="left" shrinkToFit="0" vertical="center" wrapText="1"/>
    </xf>
    <xf borderId="1" fillId="2" fontId="5" numFmtId="0" xfId="0" applyAlignment="1" applyBorder="1" applyFont="1">
      <alignment horizontal="left" vertical="center"/>
    </xf>
    <xf borderId="1" fillId="2" fontId="6" numFmtId="0" xfId="0" applyAlignment="1" applyBorder="1" applyFont="1">
      <alignment horizontal="left" vertical="center"/>
    </xf>
    <xf borderId="2" fillId="3" fontId="2" numFmtId="0" xfId="0" applyAlignment="1" applyBorder="1" applyFill="1" applyFont="1">
      <alignment horizontal="left" shrinkToFit="0" vertical="center" wrapText="1"/>
    </xf>
    <xf borderId="0" fillId="3" fontId="2" numFmtId="0" xfId="0" applyAlignment="1" applyFont="1">
      <alignment horizontal="left" shrinkToFit="0" vertical="center" wrapText="1"/>
    </xf>
    <xf borderId="2" fillId="4" fontId="7" numFmtId="0" xfId="0" applyAlignment="1" applyBorder="1" applyFill="1" applyFont="1">
      <alignment horizontal="left" vertical="center"/>
    </xf>
    <xf borderId="2" fillId="4" fontId="8" numFmtId="164" xfId="0" applyAlignment="1" applyBorder="1" applyFont="1" applyNumberFormat="1">
      <alignment horizontal="left" vertical="center"/>
    </xf>
    <xf borderId="2" fillId="4" fontId="9" numFmtId="165" xfId="0" applyAlignment="1" applyBorder="1" applyFont="1" applyNumberFormat="1">
      <alignment horizontal="left" vertical="center"/>
    </xf>
    <xf borderId="0" fillId="4" fontId="9" numFmtId="165" xfId="0" applyAlignment="1" applyFont="1" applyNumberFormat="1">
      <alignment horizontal="left" readingOrder="0" vertical="center"/>
    </xf>
    <xf borderId="0" fillId="0" fontId="9" numFmtId="0" xfId="0" applyAlignment="1" applyFont="1">
      <alignment horizontal="left" vertical="center"/>
    </xf>
    <xf borderId="0" fillId="0" fontId="8" numFmtId="164" xfId="0" applyAlignment="1" applyFont="1" applyNumberFormat="1">
      <alignment horizontal="left" vertical="center"/>
    </xf>
    <xf borderId="0" fillId="0" fontId="9" numFmtId="0" xfId="0" applyAlignment="1" applyFont="1">
      <alignment horizontal="left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5.0" topLeftCell="E6" activePane="bottomRight" state="frozen"/>
      <selection activeCell="E1" sqref="E1" pane="topRight"/>
      <selection activeCell="A6" sqref="A6" pane="bottomLeft"/>
      <selection activeCell="E6" sqref="E6" pane="bottomRight"/>
    </sheetView>
  </sheetViews>
  <sheetFormatPr customHeight="1" defaultColWidth="14.43" defaultRowHeight="15.0"/>
  <cols>
    <col customWidth="1" min="1" max="3" width="16.0"/>
    <col customWidth="1" min="4" max="4" width="8.0"/>
    <col customWidth="1" min="5" max="31" width="16.0"/>
  </cols>
  <sheetData>
    <row r="1" ht="24.0" customHeight="1">
      <c r="A1" s="1" t="s">
        <v>0</v>
      </c>
      <c r="B1" s="1" t="s">
        <v>1</v>
      </c>
      <c r="C1" s="1" t="s">
        <v>1</v>
      </c>
      <c r="D1" s="1" t="s">
        <v>1</v>
      </c>
      <c r="E1" s="2" t="s">
        <v>1</v>
      </c>
      <c r="F1" s="2" t="s">
        <v>1</v>
      </c>
      <c r="G1" s="2" t="s">
        <v>2</v>
      </c>
      <c r="H1" s="2" t="s">
        <v>3</v>
      </c>
      <c r="I1" s="2" t="s">
        <v>3</v>
      </c>
      <c r="J1" s="2" t="s">
        <v>4</v>
      </c>
      <c r="K1" s="2" t="s">
        <v>5</v>
      </c>
      <c r="L1" s="2" t="s">
        <v>6</v>
      </c>
      <c r="M1" s="2" t="s">
        <v>6</v>
      </c>
      <c r="N1" s="2" t="s">
        <v>7</v>
      </c>
      <c r="O1" s="2" t="s">
        <v>8</v>
      </c>
      <c r="P1" s="2" t="s">
        <v>9</v>
      </c>
      <c r="Q1" s="2" t="s">
        <v>10</v>
      </c>
      <c r="R1" s="2" t="s">
        <v>11</v>
      </c>
      <c r="S1" s="2" t="s">
        <v>12</v>
      </c>
      <c r="T1" s="2" t="s">
        <v>13</v>
      </c>
      <c r="U1" s="2" t="s">
        <v>14</v>
      </c>
      <c r="V1" s="2" t="s">
        <v>15</v>
      </c>
      <c r="W1" s="2" t="s">
        <v>16</v>
      </c>
      <c r="X1" s="2" t="s">
        <v>16</v>
      </c>
      <c r="Y1" s="2" t="s">
        <v>17</v>
      </c>
      <c r="Z1" s="2" t="s">
        <v>18</v>
      </c>
      <c r="AA1" s="2" t="s">
        <v>19</v>
      </c>
      <c r="AB1" s="3"/>
      <c r="AC1" s="3"/>
      <c r="AD1" s="3"/>
      <c r="AE1" s="3"/>
    </row>
    <row r="2" ht="24.0" customHeight="1">
      <c r="A2" s="4" t="s">
        <v>1</v>
      </c>
      <c r="B2" s="4" t="s">
        <v>1</v>
      </c>
      <c r="C2" s="4" t="s">
        <v>1</v>
      </c>
      <c r="D2" s="4" t="s">
        <v>1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25</v>
      </c>
      <c r="K2" s="5" t="s">
        <v>26</v>
      </c>
      <c r="L2" s="5" t="s">
        <v>27</v>
      </c>
      <c r="M2" s="5" t="s">
        <v>28</v>
      </c>
      <c r="N2" s="5" t="s">
        <v>29</v>
      </c>
      <c r="O2" s="5" t="s">
        <v>30</v>
      </c>
      <c r="P2" s="5" t="s">
        <v>31</v>
      </c>
      <c r="Q2" s="5" t="s">
        <v>32</v>
      </c>
      <c r="R2" s="5" t="s">
        <v>33</v>
      </c>
      <c r="S2" s="5" t="s">
        <v>34</v>
      </c>
      <c r="T2" s="5" t="s">
        <v>35</v>
      </c>
      <c r="U2" s="5" t="s">
        <v>36</v>
      </c>
      <c r="V2" s="5" t="s">
        <v>37</v>
      </c>
      <c r="W2" s="5" t="s">
        <v>38</v>
      </c>
      <c r="X2" s="5" t="s">
        <v>39</v>
      </c>
      <c r="Y2" s="5" t="s">
        <v>40</v>
      </c>
      <c r="Z2" s="5" t="s">
        <v>41</v>
      </c>
      <c r="AA2" s="5" t="s">
        <v>42</v>
      </c>
      <c r="AB2" s="6"/>
      <c r="AC2" s="6"/>
      <c r="AD2" s="6"/>
      <c r="AE2" s="6"/>
    </row>
    <row r="3" ht="24.0" customHeight="1">
      <c r="A3" s="7" t="str">
        <f>hyperlink("https://classroom.google.com/c/NzQ3NzI4Mjc5Nzg0", upper("Abrir sala de aula"))</f>
        <v>ABRIR SALA DE AULA</v>
      </c>
      <c r="B3" s="8" t="s">
        <v>1</v>
      </c>
      <c r="C3" s="8" t="s">
        <v>1</v>
      </c>
      <c r="D3" s="8" t="s">
        <v>1</v>
      </c>
      <c r="E3" s="2">
        <v>1.0</v>
      </c>
      <c r="F3" s="2">
        <v>10.0</v>
      </c>
      <c r="G3" s="2">
        <v>1.0</v>
      </c>
      <c r="H3" s="2">
        <v>1.0</v>
      </c>
      <c r="I3" s="2">
        <v>100.0</v>
      </c>
      <c r="J3" s="2">
        <v>100.0</v>
      </c>
      <c r="K3" s="2">
        <v>1.0</v>
      </c>
      <c r="L3" s="2">
        <v>100.0</v>
      </c>
      <c r="M3" s="2">
        <v>1.0</v>
      </c>
      <c r="N3" s="2">
        <v>1.0</v>
      </c>
      <c r="O3" s="2">
        <v>100.0</v>
      </c>
      <c r="P3" s="2">
        <v>100.0</v>
      </c>
      <c r="Q3" s="2">
        <v>1.0</v>
      </c>
      <c r="R3" s="2">
        <v>10.0</v>
      </c>
      <c r="S3" s="2">
        <v>1.0</v>
      </c>
      <c r="T3" s="2">
        <v>1.0</v>
      </c>
      <c r="U3" s="2">
        <v>100.0</v>
      </c>
      <c r="V3" s="2">
        <v>100.0</v>
      </c>
      <c r="W3" s="2">
        <v>1.0</v>
      </c>
      <c r="X3" s="2">
        <v>10.0</v>
      </c>
      <c r="Y3" s="2">
        <v>100.0</v>
      </c>
      <c r="Z3" s="2">
        <v>100.0</v>
      </c>
      <c r="AA3" s="2">
        <v>10.0</v>
      </c>
      <c r="AB3" s="3"/>
      <c r="AC3" s="3"/>
      <c r="AD3" s="3"/>
      <c r="AE3" s="3"/>
    </row>
    <row r="4" ht="24.0" customHeight="1">
      <c r="A4" s="9" t="s">
        <v>1</v>
      </c>
      <c r="B4" s="9" t="s">
        <v>1</v>
      </c>
      <c r="C4" s="9" t="s">
        <v>1</v>
      </c>
      <c r="D4" s="9" t="s">
        <v>1</v>
      </c>
      <c r="E4" s="9" t="s">
        <v>1</v>
      </c>
      <c r="F4" s="9" t="s">
        <v>1</v>
      </c>
      <c r="G4" s="9" t="s">
        <v>1</v>
      </c>
      <c r="H4" s="9" t="s">
        <v>1</v>
      </c>
      <c r="I4" s="9" t="s">
        <v>1</v>
      </c>
      <c r="J4" s="9" t="s">
        <v>1</v>
      </c>
      <c r="K4" s="9" t="s">
        <v>1</v>
      </c>
      <c r="L4" s="9" t="s">
        <v>1</v>
      </c>
      <c r="M4" s="9" t="s">
        <v>1</v>
      </c>
      <c r="N4" s="9" t="s">
        <v>1</v>
      </c>
      <c r="O4" s="9" t="s">
        <v>1</v>
      </c>
      <c r="P4" s="9" t="s">
        <v>1</v>
      </c>
      <c r="Q4" s="9" t="s">
        <v>1</v>
      </c>
      <c r="R4" s="9" t="s">
        <v>1</v>
      </c>
      <c r="S4" s="9" t="s">
        <v>1</v>
      </c>
      <c r="T4" s="9" t="s">
        <v>1</v>
      </c>
      <c r="U4" s="9" t="s">
        <v>1</v>
      </c>
      <c r="V4" s="9" t="s">
        <v>1</v>
      </c>
      <c r="W4" s="9" t="s">
        <v>1</v>
      </c>
      <c r="X4" s="9" t="s">
        <v>1</v>
      </c>
      <c r="Y4" s="9" t="s">
        <v>1</v>
      </c>
      <c r="Z4" s="9" t="s">
        <v>1</v>
      </c>
      <c r="AA4" s="9" t="s">
        <v>1</v>
      </c>
      <c r="AB4" s="10"/>
      <c r="AC4" s="10"/>
      <c r="AD4" s="10"/>
      <c r="AE4" s="10"/>
    </row>
    <row r="5" ht="24.0" customHeight="1">
      <c r="A5" s="11" t="s">
        <v>43</v>
      </c>
      <c r="B5" s="11" t="s">
        <v>1</v>
      </c>
      <c r="C5" s="11" t="s">
        <v>1</v>
      </c>
      <c r="D5" s="12">
        <f>iferror(sumifs(E5:AA5,E5:AA5,"&lt;&gt;",E4:AA4,"")/sumifs(E3:AA3,E5:AA5,"&lt;&gt;",E4:AA4,""),"")</f>
        <v>0.9482897169</v>
      </c>
      <c r="E5" s="13">
        <f t="shared" ref="E5:AA5" si="1">iferror(average(E6:E53),"")</f>
        <v>1</v>
      </c>
      <c r="F5" s="13">
        <f t="shared" si="1"/>
        <v>4.611904762</v>
      </c>
      <c r="G5" s="13">
        <f t="shared" si="1"/>
        <v>1</v>
      </c>
      <c r="H5" s="13">
        <f t="shared" si="1"/>
        <v>1</v>
      </c>
      <c r="I5" s="13">
        <f t="shared" si="1"/>
        <v>116.9984211</v>
      </c>
      <c r="J5" s="13">
        <f t="shared" si="1"/>
        <v>90.87611111</v>
      </c>
      <c r="K5" s="13">
        <f t="shared" si="1"/>
        <v>1</v>
      </c>
      <c r="L5" s="13">
        <f t="shared" si="1"/>
        <v>91.35925</v>
      </c>
      <c r="M5" s="13">
        <f t="shared" si="1"/>
        <v>1</v>
      </c>
      <c r="N5" s="13">
        <f t="shared" si="1"/>
        <v>1</v>
      </c>
      <c r="O5" s="13">
        <f t="shared" si="1"/>
        <v>95.82828571</v>
      </c>
      <c r="P5" s="13">
        <f t="shared" si="1"/>
        <v>94.51</v>
      </c>
      <c r="Q5" s="13">
        <f t="shared" si="1"/>
        <v>1</v>
      </c>
      <c r="R5" s="13">
        <f t="shared" si="1"/>
        <v>4.290243902</v>
      </c>
      <c r="S5" s="13">
        <f t="shared" si="1"/>
        <v>1</v>
      </c>
      <c r="T5" s="13">
        <f t="shared" si="1"/>
        <v>1</v>
      </c>
      <c r="U5" s="13">
        <f t="shared" si="1"/>
        <v>97.17142857</v>
      </c>
      <c r="V5" s="13">
        <f t="shared" si="1"/>
        <v>97.88888889</v>
      </c>
      <c r="W5" s="13">
        <f t="shared" si="1"/>
        <v>1</v>
      </c>
      <c r="X5" s="13">
        <f t="shared" si="1"/>
        <v>5.205405405</v>
      </c>
      <c r="Y5" s="13">
        <f t="shared" si="1"/>
        <v>90.91966667</v>
      </c>
      <c r="Z5" s="13">
        <f t="shared" si="1"/>
        <v>97.1</v>
      </c>
      <c r="AA5" s="13">
        <f t="shared" si="1"/>
        <v>4.115625</v>
      </c>
      <c r="AB5" s="14" t="s">
        <v>44</v>
      </c>
      <c r="AC5" s="14" t="s">
        <v>45</v>
      </c>
      <c r="AD5" s="14" t="s">
        <v>46</v>
      </c>
      <c r="AE5" s="14" t="s">
        <v>47</v>
      </c>
    </row>
    <row r="6" ht="24.0" customHeight="1">
      <c r="A6" s="15" t="s">
        <v>48</v>
      </c>
      <c r="B6" s="15" t="s">
        <v>49</v>
      </c>
      <c r="C6" s="15" t="s">
        <v>50</v>
      </c>
      <c r="D6" s="16">
        <f>iferror(sumif(E6:AA6,"&lt;&gt;")/sumif(E6:AA6,"&lt;&gt;",E3:AA3),"")</f>
        <v>0.9487261146</v>
      </c>
      <c r="E6" s="15"/>
      <c r="F6" s="15">
        <v>6.7</v>
      </c>
      <c r="G6" s="15"/>
      <c r="H6" s="15">
        <v>1.0</v>
      </c>
      <c r="I6" s="15">
        <v>98.5</v>
      </c>
      <c r="J6" s="15">
        <v>85.0</v>
      </c>
      <c r="K6" s="15"/>
      <c r="L6" s="15">
        <v>84.5</v>
      </c>
      <c r="M6" s="15"/>
      <c r="N6" s="15"/>
      <c r="O6" s="15">
        <v>100.0</v>
      </c>
      <c r="P6" s="15">
        <v>100.0</v>
      </c>
      <c r="Q6" s="15"/>
      <c r="R6" s="15">
        <v>6.5</v>
      </c>
      <c r="S6" s="15">
        <v>1.0</v>
      </c>
      <c r="T6" s="15"/>
      <c r="U6" s="15">
        <v>100.0</v>
      </c>
      <c r="V6" s="15">
        <v>100.0</v>
      </c>
      <c r="W6" s="15"/>
      <c r="X6" s="15">
        <v>6.5</v>
      </c>
      <c r="Y6" s="15">
        <v>100.0</v>
      </c>
      <c r="Z6" s="15">
        <v>100.0</v>
      </c>
      <c r="AA6" s="15">
        <v>4.0</v>
      </c>
      <c r="AB6" s="15">
        <f t="shared" ref="AB6:AB53" si="2">(U6+V6+Y6+Z6)/40</f>
        <v>10</v>
      </c>
      <c r="AC6" s="15">
        <f t="shared" ref="AC6:AC53" si="3">(X6+AA6)/2</f>
        <v>5.25</v>
      </c>
      <c r="AD6" s="15">
        <f t="shared" ref="AD6:AD53" si="4">(Q6+S6+E6+T6+W6)/5</f>
        <v>0.2</v>
      </c>
      <c r="AE6" s="15">
        <f t="shared" ref="AE6:AE53" si="5">AB6*0.2+AC6*0.8+AD6</f>
        <v>6.4</v>
      </c>
    </row>
    <row r="7" ht="24.0" customHeight="1">
      <c r="A7" s="15" t="s">
        <v>51</v>
      </c>
      <c r="B7" s="15" t="s">
        <v>52</v>
      </c>
      <c r="C7" s="15" t="s">
        <v>53</v>
      </c>
      <c r="D7" s="16">
        <f>iferror(sumif(E7:AA7,"&lt;&gt;")/sumif(E7:AA7,"&lt;&gt;",E3:AA3),"")</f>
        <v>0.9427205101</v>
      </c>
      <c r="E7" s="15"/>
      <c r="F7" s="15">
        <v>6.0</v>
      </c>
      <c r="G7" s="15"/>
      <c r="H7" s="15">
        <v>1.0</v>
      </c>
      <c r="I7" s="15">
        <v>98.0</v>
      </c>
      <c r="J7" s="15">
        <v>99.5</v>
      </c>
      <c r="K7" s="15"/>
      <c r="L7" s="15">
        <v>90.0</v>
      </c>
      <c r="M7" s="15"/>
      <c r="N7" s="15"/>
      <c r="O7" s="15">
        <v>85.0</v>
      </c>
      <c r="P7" s="15">
        <v>95.0</v>
      </c>
      <c r="Q7" s="15"/>
      <c r="R7" s="15">
        <v>3.4</v>
      </c>
      <c r="S7" s="15"/>
      <c r="T7" s="15"/>
      <c r="U7" s="15">
        <v>100.0</v>
      </c>
      <c r="V7" s="15">
        <v>100.0</v>
      </c>
      <c r="W7" s="15"/>
      <c r="X7" s="15">
        <v>7.2</v>
      </c>
      <c r="Y7" s="15">
        <v>100.0</v>
      </c>
      <c r="Z7" s="15">
        <v>100.0</v>
      </c>
      <c r="AA7" s="15">
        <v>2.0</v>
      </c>
      <c r="AB7" s="15">
        <f t="shared" si="2"/>
        <v>10</v>
      </c>
      <c r="AC7" s="15">
        <f t="shared" si="3"/>
        <v>4.6</v>
      </c>
      <c r="AD7" s="15">
        <f t="shared" si="4"/>
        <v>0</v>
      </c>
      <c r="AE7" s="15">
        <f t="shared" si="5"/>
        <v>5.68</v>
      </c>
    </row>
    <row r="8" ht="24.0" customHeight="1">
      <c r="A8" s="15" t="s">
        <v>54</v>
      </c>
      <c r="B8" s="15" t="s">
        <v>55</v>
      </c>
      <c r="C8" s="15" t="s">
        <v>56</v>
      </c>
      <c r="D8" s="16">
        <f>iferror(sumif(E8:AA8,"&lt;&gt;")/sumif(E8:AA8,"&lt;&gt;",E3:AA3),"")</f>
        <v>0.9345174973</v>
      </c>
      <c r="E8" s="15"/>
      <c r="F8" s="15">
        <v>2.7</v>
      </c>
      <c r="G8" s="15">
        <v>1.0</v>
      </c>
      <c r="H8" s="15"/>
      <c r="I8" s="15">
        <v>100.0</v>
      </c>
      <c r="J8" s="15">
        <v>97.8</v>
      </c>
      <c r="K8" s="15"/>
      <c r="L8" s="15">
        <v>100.0</v>
      </c>
      <c r="M8" s="15"/>
      <c r="N8" s="15"/>
      <c r="O8" s="15">
        <v>100.0</v>
      </c>
      <c r="P8" s="15">
        <v>90.0</v>
      </c>
      <c r="Q8" s="15"/>
      <c r="R8" s="15">
        <v>3.0</v>
      </c>
      <c r="S8" s="15">
        <v>1.0</v>
      </c>
      <c r="T8" s="15">
        <v>1.0</v>
      </c>
      <c r="U8" s="15">
        <v>100.0</v>
      </c>
      <c r="V8" s="15">
        <v>100.0</v>
      </c>
      <c r="W8" s="15"/>
      <c r="X8" s="15">
        <v>2.0</v>
      </c>
      <c r="Y8" s="15">
        <v>89.0</v>
      </c>
      <c r="Z8" s="15">
        <v>93.75</v>
      </c>
      <c r="AA8" s="15">
        <v>0.0</v>
      </c>
      <c r="AB8" s="15">
        <f t="shared" si="2"/>
        <v>9.56875</v>
      </c>
      <c r="AC8" s="15">
        <f t="shared" si="3"/>
        <v>1</v>
      </c>
      <c r="AD8" s="15">
        <f t="shared" si="4"/>
        <v>0.4</v>
      </c>
      <c r="AE8" s="15">
        <f t="shared" si="5"/>
        <v>3.11375</v>
      </c>
    </row>
    <row r="9" ht="24.0" customHeight="1">
      <c r="A9" s="15" t="s">
        <v>57</v>
      </c>
      <c r="B9" s="15" t="s">
        <v>58</v>
      </c>
      <c r="C9" s="15" t="s">
        <v>59</v>
      </c>
      <c r="D9" s="16">
        <f>iferror(sumif(E9:AA9,"&lt;&gt;")/sumif(E9:AA9,"&lt;&gt;",E3:AA3),"")</f>
        <v>0.9345430108</v>
      </c>
      <c r="E9" s="15">
        <v>1.0</v>
      </c>
      <c r="F9" s="15">
        <v>2.3</v>
      </c>
      <c r="G9" s="15"/>
      <c r="H9" s="15"/>
      <c r="I9" s="15">
        <v>96.5</v>
      </c>
      <c r="J9" s="15">
        <v>97.3</v>
      </c>
      <c r="K9" s="15"/>
      <c r="L9" s="15">
        <v>97.8</v>
      </c>
      <c r="M9" s="15"/>
      <c r="N9" s="15">
        <v>1.0</v>
      </c>
      <c r="O9" s="15">
        <v>100.0</v>
      </c>
      <c r="P9" s="15">
        <v>100.0</v>
      </c>
      <c r="Q9" s="15">
        <v>1.0</v>
      </c>
      <c r="R9" s="15">
        <v>0.7</v>
      </c>
      <c r="S9" s="15">
        <v>1.0</v>
      </c>
      <c r="T9" s="15"/>
      <c r="U9" s="15">
        <v>100.0</v>
      </c>
      <c r="V9" s="15">
        <v>92.0</v>
      </c>
      <c r="W9" s="15"/>
      <c r="X9" s="15">
        <v>2.7</v>
      </c>
      <c r="Y9" s="15"/>
      <c r="Z9" s="15"/>
      <c r="AA9" s="15">
        <v>2.0</v>
      </c>
      <c r="AB9" s="15">
        <f t="shared" si="2"/>
        <v>4.8</v>
      </c>
      <c r="AC9" s="15">
        <f t="shared" si="3"/>
        <v>2.35</v>
      </c>
      <c r="AD9" s="15">
        <f t="shared" si="4"/>
        <v>0.6</v>
      </c>
      <c r="AE9" s="15">
        <f t="shared" si="5"/>
        <v>3.44</v>
      </c>
    </row>
    <row r="10" ht="24.0" customHeight="1">
      <c r="A10" s="15" t="s">
        <v>60</v>
      </c>
      <c r="B10" s="15" t="s">
        <v>61</v>
      </c>
      <c r="C10" s="15" t="s">
        <v>62</v>
      </c>
      <c r="D10" s="16">
        <f>iferror(sumif(E10:AA10,"&lt;&gt;")/sumif(E10:AA10,"&lt;&gt;",E3:AA3),"")</f>
        <v>0.9518597237</v>
      </c>
      <c r="E10" s="15"/>
      <c r="F10" s="15">
        <v>7.2</v>
      </c>
      <c r="G10" s="15"/>
      <c r="H10" s="15">
        <v>1.0</v>
      </c>
      <c r="I10" s="15">
        <v>98.0</v>
      </c>
      <c r="J10" s="15">
        <v>95.0</v>
      </c>
      <c r="K10" s="15"/>
      <c r="L10" s="15">
        <v>90.0</v>
      </c>
      <c r="M10" s="15"/>
      <c r="N10" s="15"/>
      <c r="O10" s="15">
        <v>100.0</v>
      </c>
      <c r="P10" s="15">
        <v>85.0</v>
      </c>
      <c r="Q10" s="15"/>
      <c r="R10" s="15">
        <v>6.0</v>
      </c>
      <c r="S10" s="15"/>
      <c r="T10" s="15"/>
      <c r="U10" s="15">
        <v>100.0</v>
      </c>
      <c r="V10" s="15">
        <v>100.0</v>
      </c>
      <c r="W10" s="15"/>
      <c r="X10" s="15">
        <v>6.8</v>
      </c>
      <c r="Y10" s="15">
        <v>100.0</v>
      </c>
      <c r="Z10" s="15">
        <v>100.0</v>
      </c>
      <c r="AA10" s="15">
        <v>6.7</v>
      </c>
      <c r="AB10" s="15">
        <f t="shared" si="2"/>
        <v>10</v>
      </c>
      <c r="AC10" s="15">
        <f t="shared" si="3"/>
        <v>6.75</v>
      </c>
      <c r="AD10" s="15">
        <f t="shared" si="4"/>
        <v>0</v>
      </c>
      <c r="AE10" s="15">
        <f t="shared" si="5"/>
        <v>7.4</v>
      </c>
    </row>
    <row r="11" ht="24.0" customHeight="1">
      <c r="A11" s="15" t="s">
        <v>63</v>
      </c>
      <c r="B11" s="15" t="s">
        <v>64</v>
      </c>
      <c r="C11" s="15" t="s">
        <v>65</v>
      </c>
      <c r="D11" s="16">
        <f>iferror(sumif(E11:AA11,"&lt;&gt;")/sumif(E11:AA11,"&lt;&gt;",E3:AA3),"")</f>
        <v>0.9551214361</v>
      </c>
      <c r="E11" s="15">
        <v>1.0</v>
      </c>
      <c r="F11" s="15">
        <v>6.4</v>
      </c>
      <c r="G11" s="15"/>
      <c r="H11" s="15">
        <v>1.0</v>
      </c>
      <c r="I11" s="15">
        <v>100.0</v>
      </c>
      <c r="J11" s="15">
        <v>95.0</v>
      </c>
      <c r="K11" s="15">
        <v>1.0</v>
      </c>
      <c r="L11" s="15">
        <v>90.0</v>
      </c>
      <c r="M11" s="15">
        <v>1.0</v>
      </c>
      <c r="N11" s="15">
        <v>1.0</v>
      </c>
      <c r="O11" s="15">
        <v>95.0</v>
      </c>
      <c r="P11" s="15">
        <v>100.0</v>
      </c>
      <c r="Q11" s="15"/>
      <c r="R11" s="15">
        <v>8.4</v>
      </c>
      <c r="S11" s="15">
        <v>1.0</v>
      </c>
      <c r="T11" s="15"/>
      <c r="U11" s="15">
        <v>98.0</v>
      </c>
      <c r="V11" s="15">
        <v>99.0</v>
      </c>
      <c r="W11" s="15">
        <v>1.0</v>
      </c>
      <c r="X11" s="15">
        <v>7.7</v>
      </c>
      <c r="Y11" s="15">
        <v>90.0</v>
      </c>
      <c r="Z11" s="15">
        <v>100.0</v>
      </c>
      <c r="AA11" s="15">
        <v>8.0</v>
      </c>
      <c r="AB11" s="15">
        <f t="shared" si="2"/>
        <v>9.675</v>
      </c>
      <c r="AC11" s="15">
        <f t="shared" si="3"/>
        <v>7.85</v>
      </c>
      <c r="AD11" s="15">
        <f t="shared" si="4"/>
        <v>0.6</v>
      </c>
      <c r="AE11" s="15">
        <f t="shared" si="5"/>
        <v>8.815</v>
      </c>
    </row>
    <row r="12" ht="24.0" customHeight="1">
      <c r="A12" s="15" t="s">
        <v>66</v>
      </c>
      <c r="B12" s="15" t="s">
        <v>67</v>
      </c>
      <c r="C12" s="15" t="s">
        <v>68</v>
      </c>
      <c r="D12" s="16">
        <f>iferror(sumif(E12:AA12,"&lt;&gt;")/sumif(E12:AA12,"&lt;&gt;",E3:AA3),"")</f>
        <v>0.9174630872</v>
      </c>
      <c r="E12" s="15">
        <v>1.0</v>
      </c>
      <c r="F12" s="15">
        <v>1.3</v>
      </c>
      <c r="G12" s="15"/>
      <c r="H12" s="15"/>
      <c r="I12" s="15">
        <v>90.0</v>
      </c>
      <c r="J12" s="15">
        <v>100.0</v>
      </c>
      <c r="K12" s="15"/>
      <c r="L12" s="15">
        <v>100.0</v>
      </c>
      <c r="M12" s="15"/>
      <c r="N12" s="15"/>
      <c r="O12" s="15">
        <v>95.83</v>
      </c>
      <c r="P12" s="15">
        <v>90.48</v>
      </c>
      <c r="Q12" s="15">
        <v>1.0</v>
      </c>
      <c r="R12" s="15">
        <v>1.9</v>
      </c>
      <c r="S12" s="15">
        <v>1.0</v>
      </c>
      <c r="T12" s="15">
        <v>1.0</v>
      </c>
      <c r="U12" s="15">
        <v>95.0</v>
      </c>
      <c r="V12" s="15">
        <v>100.0</v>
      </c>
      <c r="W12" s="15">
        <v>1.0</v>
      </c>
      <c r="X12" s="15">
        <v>2.5</v>
      </c>
      <c r="Y12" s="15"/>
      <c r="Z12" s="15"/>
      <c r="AA12" s="15">
        <v>1.5</v>
      </c>
      <c r="AB12" s="15">
        <f t="shared" si="2"/>
        <v>4.875</v>
      </c>
      <c r="AC12" s="15">
        <f t="shared" si="3"/>
        <v>2</v>
      </c>
      <c r="AD12" s="15">
        <f t="shared" si="4"/>
        <v>1</v>
      </c>
      <c r="AE12" s="15">
        <f t="shared" si="5"/>
        <v>3.575</v>
      </c>
    </row>
    <row r="13" ht="24.0" customHeight="1">
      <c r="A13" s="15" t="s">
        <v>1</v>
      </c>
      <c r="B13" s="15" t="s">
        <v>69</v>
      </c>
      <c r="C13" s="15" t="s">
        <v>70</v>
      </c>
      <c r="D13" s="16">
        <f>iferror(sumif(E13:AA13,"&lt;&gt;")/sumif(E13:AA13,"&lt;&gt;",E3:AA3),"")</f>
        <v>3.490625</v>
      </c>
      <c r="E13" s="15"/>
      <c r="F13" s="15">
        <v>2.0</v>
      </c>
      <c r="G13" s="15"/>
      <c r="H13" s="15"/>
      <c r="I13" s="15">
        <v>965.0</v>
      </c>
      <c r="J13" s="15">
        <v>70.0</v>
      </c>
      <c r="K13" s="15"/>
      <c r="L13" s="15">
        <v>80.0</v>
      </c>
      <c r="M13" s="15"/>
      <c r="N13" s="15"/>
      <c r="O13" s="15"/>
      <c r="P13" s="15"/>
      <c r="Q13" s="15"/>
      <c r="R13" s="15">
        <v>0.0</v>
      </c>
      <c r="S13" s="15"/>
      <c r="T13" s="15"/>
      <c r="U13" s="15"/>
      <c r="V13" s="15"/>
      <c r="W13" s="15"/>
      <c r="X13" s="15"/>
      <c r="Y13" s="15"/>
      <c r="Z13" s="15"/>
      <c r="AA13" s="15"/>
      <c r="AB13" s="15">
        <f t="shared" si="2"/>
        <v>0</v>
      </c>
      <c r="AC13" s="15">
        <f t="shared" si="3"/>
        <v>0</v>
      </c>
      <c r="AD13" s="15">
        <f t="shared" si="4"/>
        <v>0</v>
      </c>
      <c r="AE13" s="15">
        <f t="shared" si="5"/>
        <v>0</v>
      </c>
    </row>
    <row r="14" ht="24.0" customHeight="1">
      <c r="A14" s="15" t="s">
        <v>71</v>
      </c>
      <c r="B14" s="15" t="s">
        <v>72</v>
      </c>
      <c r="C14" s="15" t="s">
        <v>73</v>
      </c>
      <c r="D14" s="16">
        <f>iferror(sumif(E14:AA14,"&lt;&gt;")/sumif(E14:AA14,"&lt;&gt;",E3:AA3),"")</f>
        <v>0.8757875895</v>
      </c>
      <c r="E14" s="15">
        <v>1.0</v>
      </c>
      <c r="F14" s="15">
        <v>1.0</v>
      </c>
      <c r="G14" s="15"/>
      <c r="H14" s="15"/>
      <c r="I14" s="15">
        <v>85.42</v>
      </c>
      <c r="J14" s="15">
        <v>99.44</v>
      </c>
      <c r="K14" s="15">
        <v>1.0</v>
      </c>
      <c r="L14" s="15">
        <v>95.0</v>
      </c>
      <c r="M14" s="15">
        <v>1.0</v>
      </c>
      <c r="N14" s="15">
        <v>1.0</v>
      </c>
      <c r="O14" s="15">
        <v>100.0</v>
      </c>
      <c r="P14" s="15">
        <v>85.0</v>
      </c>
      <c r="Q14" s="15">
        <v>1.0</v>
      </c>
      <c r="R14" s="15">
        <v>1.5</v>
      </c>
      <c r="S14" s="15">
        <v>1.0</v>
      </c>
      <c r="T14" s="15">
        <v>1.0</v>
      </c>
      <c r="U14" s="15">
        <v>100.0</v>
      </c>
      <c r="V14" s="15">
        <v>100.0</v>
      </c>
      <c r="W14" s="15">
        <v>1.0</v>
      </c>
      <c r="X14" s="15">
        <v>0.0</v>
      </c>
      <c r="Y14" s="15">
        <v>58.55</v>
      </c>
      <c r="Z14" s="15"/>
      <c r="AA14" s="15"/>
      <c r="AB14" s="15">
        <f t="shared" si="2"/>
        <v>6.46375</v>
      </c>
      <c r="AC14" s="15">
        <f t="shared" si="3"/>
        <v>0</v>
      </c>
      <c r="AD14" s="15">
        <f t="shared" si="4"/>
        <v>1</v>
      </c>
      <c r="AE14" s="15">
        <f t="shared" si="5"/>
        <v>2.29275</v>
      </c>
    </row>
    <row r="15" ht="24.0" customHeight="1">
      <c r="A15" s="15" t="s">
        <v>74</v>
      </c>
      <c r="B15" s="15" t="s">
        <v>75</v>
      </c>
      <c r="C15" s="15" t="s">
        <v>76</v>
      </c>
      <c r="D15" s="16">
        <f>iferror(sumif(E15:AA15,"&lt;&gt;")/sumif(E15:AA15,"&lt;&gt;",E3:AA3),"")</f>
        <v>0.8601796407</v>
      </c>
      <c r="E15" s="15"/>
      <c r="F15" s="15">
        <v>0.2</v>
      </c>
      <c r="G15" s="15">
        <v>1.0</v>
      </c>
      <c r="H15" s="15"/>
      <c r="I15" s="15"/>
      <c r="J15" s="15">
        <v>84.4</v>
      </c>
      <c r="K15" s="15">
        <v>1.0</v>
      </c>
      <c r="L15" s="15">
        <v>96.7</v>
      </c>
      <c r="M15" s="15"/>
      <c r="N15" s="15">
        <v>1.0</v>
      </c>
      <c r="O15" s="15"/>
      <c r="P15" s="15"/>
      <c r="Q15" s="15">
        <v>1.0</v>
      </c>
      <c r="R15" s="15">
        <v>0.0</v>
      </c>
      <c r="S15" s="15"/>
      <c r="T15" s="15"/>
      <c r="U15" s="15"/>
      <c r="V15" s="15">
        <v>100.0</v>
      </c>
      <c r="W15" s="15"/>
      <c r="X15" s="15">
        <v>2.0</v>
      </c>
      <c r="Y15" s="15"/>
      <c r="Z15" s="15"/>
      <c r="AA15" s="15"/>
      <c r="AB15" s="15">
        <f t="shared" si="2"/>
        <v>2.5</v>
      </c>
      <c r="AC15" s="15">
        <f t="shared" si="3"/>
        <v>1</v>
      </c>
      <c r="AD15" s="15">
        <f t="shared" si="4"/>
        <v>0.2</v>
      </c>
      <c r="AE15" s="15">
        <f t="shared" si="5"/>
        <v>1.5</v>
      </c>
    </row>
    <row r="16" ht="24.0" customHeight="1">
      <c r="A16" s="15" t="s">
        <v>77</v>
      </c>
      <c r="B16" s="15" t="s">
        <v>78</v>
      </c>
      <c r="C16" s="15" t="s">
        <v>79</v>
      </c>
      <c r="D16" s="16">
        <f>iferror(sumif(E16:AA16,"&lt;&gt;")/sumif(E16:AA16,"&lt;&gt;",E3:AA3),"")</f>
        <v>0.9782820785</v>
      </c>
      <c r="E16" s="15">
        <v>1.0</v>
      </c>
      <c r="F16" s="15">
        <v>8.2</v>
      </c>
      <c r="G16" s="15"/>
      <c r="H16" s="15"/>
      <c r="I16" s="15">
        <v>98.0</v>
      </c>
      <c r="J16" s="15">
        <v>98.5</v>
      </c>
      <c r="K16" s="15">
        <v>1.0</v>
      </c>
      <c r="L16" s="15">
        <v>100.0</v>
      </c>
      <c r="M16" s="15"/>
      <c r="N16" s="15"/>
      <c r="O16" s="15">
        <v>100.0</v>
      </c>
      <c r="P16" s="15">
        <v>100.0</v>
      </c>
      <c r="Q16" s="15"/>
      <c r="R16" s="15">
        <v>8.0</v>
      </c>
      <c r="S16" s="15"/>
      <c r="T16" s="15">
        <v>1.0</v>
      </c>
      <c r="U16" s="15">
        <v>95.0</v>
      </c>
      <c r="V16" s="15">
        <v>100.0</v>
      </c>
      <c r="W16" s="15"/>
      <c r="X16" s="15">
        <v>9.0</v>
      </c>
      <c r="Y16" s="15">
        <v>98.62</v>
      </c>
      <c r="Z16" s="15">
        <v>100.0</v>
      </c>
      <c r="AA16" s="15">
        <v>4.2</v>
      </c>
      <c r="AB16" s="15">
        <f t="shared" si="2"/>
        <v>9.8405</v>
      </c>
      <c r="AC16" s="15">
        <f t="shared" si="3"/>
        <v>6.6</v>
      </c>
      <c r="AD16" s="15">
        <f t="shared" si="4"/>
        <v>0.4</v>
      </c>
      <c r="AE16" s="15">
        <f t="shared" si="5"/>
        <v>7.6481</v>
      </c>
    </row>
    <row r="17" ht="24.0" customHeight="1">
      <c r="A17" s="15" t="s">
        <v>1</v>
      </c>
      <c r="B17" s="15" t="s">
        <v>80</v>
      </c>
      <c r="C17" s="15" t="s">
        <v>81</v>
      </c>
      <c r="D17" s="16">
        <f>iferror(sumif(E17:AA17,"&lt;&gt;")/sumif(E17:AA17,"&lt;&gt;",E3:AA3),"")</f>
        <v>0.9104615385</v>
      </c>
      <c r="E17" s="15"/>
      <c r="F17" s="15">
        <v>9.0</v>
      </c>
      <c r="G17" s="15">
        <v>1.0</v>
      </c>
      <c r="H17" s="15">
        <v>1.0</v>
      </c>
      <c r="I17" s="15">
        <v>99.0</v>
      </c>
      <c r="J17" s="15">
        <v>90.0</v>
      </c>
      <c r="K17" s="15"/>
      <c r="L17" s="15">
        <v>90.0</v>
      </c>
      <c r="M17" s="15">
        <v>1.0</v>
      </c>
      <c r="N17" s="15">
        <v>1.0</v>
      </c>
      <c r="O17" s="15"/>
      <c r="P17" s="15"/>
      <c r="Q17" s="15"/>
      <c r="R17" s="15">
        <v>2.9</v>
      </c>
      <c r="S17" s="15">
        <v>1.0</v>
      </c>
      <c r="T17" s="15"/>
      <c r="U17" s="15"/>
      <c r="V17" s="15"/>
      <c r="W17" s="15"/>
      <c r="X17" s="15"/>
      <c r="Y17" s="15"/>
      <c r="Z17" s="15"/>
      <c r="AA17" s="15"/>
      <c r="AB17" s="15">
        <f t="shared" si="2"/>
        <v>0</v>
      </c>
      <c r="AC17" s="15">
        <f t="shared" si="3"/>
        <v>0</v>
      </c>
      <c r="AD17" s="15">
        <f t="shared" si="4"/>
        <v>0.2</v>
      </c>
      <c r="AE17" s="15">
        <f t="shared" si="5"/>
        <v>0.2</v>
      </c>
    </row>
    <row r="18" ht="24.0" customHeight="1">
      <c r="A18" s="15" t="s">
        <v>82</v>
      </c>
      <c r="B18" s="15" t="s">
        <v>83</v>
      </c>
      <c r="C18" s="15" t="s">
        <v>84</v>
      </c>
      <c r="D18" s="16">
        <f>iferror(sumif(E18:AA18,"&lt;&gt;")/sumif(E18:AA18,"&lt;&gt;",E3:AA3),"")</f>
        <v>0.9285714286</v>
      </c>
      <c r="E18" s="15"/>
      <c r="F18" s="15">
        <v>7.3</v>
      </c>
      <c r="G18" s="15"/>
      <c r="H18" s="15">
        <v>1.0</v>
      </c>
      <c r="I18" s="15">
        <v>99.0</v>
      </c>
      <c r="J18" s="15">
        <v>80.0</v>
      </c>
      <c r="K18" s="15">
        <v>1.0</v>
      </c>
      <c r="L18" s="15">
        <v>90.0</v>
      </c>
      <c r="M18" s="15"/>
      <c r="N18" s="15"/>
      <c r="O18" s="15">
        <v>100.0</v>
      </c>
      <c r="P18" s="15">
        <v>85.0</v>
      </c>
      <c r="Q18" s="15"/>
      <c r="R18" s="15">
        <v>5.7</v>
      </c>
      <c r="S18" s="15">
        <v>1.0</v>
      </c>
      <c r="T18" s="15">
        <v>1.0</v>
      </c>
      <c r="U18" s="15">
        <v>97.5</v>
      </c>
      <c r="V18" s="15">
        <v>100.0</v>
      </c>
      <c r="W18" s="15">
        <v>1.0</v>
      </c>
      <c r="X18" s="15">
        <v>4.0</v>
      </c>
      <c r="Y18" s="15">
        <v>100.0</v>
      </c>
      <c r="Z18" s="15">
        <v>100.0</v>
      </c>
      <c r="AA18" s="15">
        <v>4.0</v>
      </c>
      <c r="AB18" s="15">
        <f t="shared" si="2"/>
        <v>9.9375</v>
      </c>
      <c r="AC18" s="15">
        <f t="shared" si="3"/>
        <v>4</v>
      </c>
      <c r="AD18" s="15">
        <f t="shared" si="4"/>
        <v>0.6</v>
      </c>
      <c r="AE18" s="15">
        <f t="shared" si="5"/>
        <v>5.7875</v>
      </c>
    </row>
    <row r="19" ht="24.0" customHeight="1">
      <c r="A19" s="15" t="s">
        <v>85</v>
      </c>
      <c r="B19" s="15" t="s">
        <v>86</v>
      </c>
      <c r="C19" s="15" t="s">
        <v>87</v>
      </c>
      <c r="D19" s="16">
        <f>iferror(sumif(E19:AA19,"&lt;&gt;")/sumif(E19:AA19,"&lt;&gt;",E3:AA3),"")</f>
        <v>0.8870765027</v>
      </c>
      <c r="E19" s="15"/>
      <c r="F19" s="15">
        <v>3.5</v>
      </c>
      <c r="G19" s="15"/>
      <c r="H19" s="15"/>
      <c r="I19" s="15">
        <v>75.0</v>
      </c>
      <c r="J19" s="15">
        <v>90.0</v>
      </c>
      <c r="K19" s="15">
        <v>1.0</v>
      </c>
      <c r="L19" s="15">
        <v>81.2</v>
      </c>
      <c r="M19" s="15"/>
      <c r="N19" s="15">
        <v>1.0</v>
      </c>
      <c r="O19" s="15">
        <v>100.0</v>
      </c>
      <c r="P19" s="15">
        <v>95.24</v>
      </c>
      <c r="Q19" s="15"/>
      <c r="R19" s="15">
        <v>4.6</v>
      </c>
      <c r="S19" s="15"/>
      <c r="T19" s="15"/>
      <c r="U19" s="15">
        <v>100.0</v>
      </c>
      <c r="V19" s="15">
        <v>94.0</v>
      </c>
      <c r="W19" s="15"/>
      <c r="X19" s="15">
        <v>3.8</v>
      </c>
      <c r="Y19" s="15"/>
      <c r="Z19" s="15"/>
      <c r="AA19" s="15"/>
      <c r="AB19" s="15">
        <f t="shared" si="2"/>
        <v>4.85</v>
      </c>
      <c r="AC19" s="15">
        <f t="shared" si="3"/>
        <v>1.9</v>
      </c>
      <c r="AD19" s="15">
        <f t="shared" si="4"/>
        <v>0</v>
      </c>
      <c r="AE19" s="15">
        <f t="shared" si="5"/>
        <v>2.49</v>
      </c>
    </row>
    <row r="20" ht="24.0" customHeight="1">
      <c r="A20" s="15" t="s">
        <v>88</v>
      </c>
      <c r="B20" s="15" t="s">
        <v>89</v>
      </c>
      <c r="C20" s="15" t="s">
        <v>90</v>
      </c>
      <c r="D20" s="16">
        <f>iferror(sumif(E20:AA20,"&lt;&gt;")/sumif(E20:AA20,"&lt;&gt;",E3:AA3),"")</f>
        <v>0.9860906217</v>
      </c>
      <c r="E20" s="15">
        <v>1.0</v>
      </c>
      <c r="F20" s="15">
        <v>7.0</v>
      </c>
      <c r="G20" s="15">
        <v>1.0</v>
      </c>
      <c r="H20" s="15">
        <v>1.0</v>
      </c>
      <c r="I20" s="15">
        <v>100.0</v>
      </c>
      <c r="J20" s="15">
        <v>99.0</v>
      </c>
      <c r="K20" s="15">
        <v>1.0</v>
      </c>
      <c r="L20" s="15">
        <v>99.0</v>
      </c>
      <c r="M20" s="15">
        <v>1.0</v>
      </c>
      <c r="N20" s="15">
        <v>1.0</v>
      </c>
      <c r="O20" s="15">
        <v>100.0</v>
      </c>
      <c r="P20" s="15">
        <v>100.0</v>
      </c>
      <c r="Q20" s="15">
        <v>1.0</v>
      </c>
      <c r="R20" s="15">
        <v>8.0</v>
      </c>
      <c r="S20" s="15">
        <v>1.0</v>
      </c>
      <c r="T20" s="15">
        <v>1.0</v>
      </c>
      <c r="U20" s="15">
        <v>100.0</v>
      </c>
      <c r="V20" s="15">
        <v>100.0</v>
      </c>
      <c r="W20" s="15"/>
      <c r="X20" s="15">
        <v>9.0</v>
      </c>
      <c r="Y20" s="15">
        <v>100.0</v>
      </c>
      <c r="Z20" s="15">
        <v>100.0</v>
      </c>
      <c r="AA20" s="15">
        <v>4.8</v>
      </c>
      <c r="AB20" s="15">
        <f t="shared" si="2"/>
        <v>10</v>
      </c>
      <c r="AC20" s="15">
        <f t="shared" si="3"/>
        <v>6.9</v>
      </c>
      <c r="AD20" s="15">
        <f t="shared" si="4"/>
        <v>0.8</v>
      </c>
      <c r="AE20" s="15">
        <f t="shared" si="5"/>
        <v>8.32</v>
      </c>
    </row>
    <row r="21" ht="24.0" customHeight="1">
      <c r="A21" s="15" t="s">
        <v>83</v>
      </c>
      <c r="B21" s="15" t="s">
        <v>91</v>
      </c>
      <c r="C21" s="15" t="s">
        <v>92</v>
      </c>
      <c r="D21" s="16">
        <f>iferror(sumif(E21:AA21,"&lt;&gt;")/sumif(E21:AA21,"&lt;&gt;",E3:AA3),"")</f>
        <v>0.8994186047</v>
      </c>
      <c r="E21" s="15"/>
      <c r="F21" s="15">
        <v>4.8</v>
      </c>
      <c r="G21" s="15">
        <v>1.0</v>
      </c>
      <c r="H21" s="15">
        <v>1.0</v>
      </c>
      <c r="I21" s="15">
        <v>99.9</v>
      </c>
      <c r="J21" s="15">
        <v>90.0</v>
      </c>
      <c r="K21" s="15">
        <v>1.0</v>
      </c>
      <c r="L21" s="15">
        <v>90.0</v>
      </c>
      <c r="M21" s="15">
        <v>1.0</v>
      </c>
      <c r="N21" s="15">
        <v>1.0</v>
      </c>
      <c r="O21" s="15">
        <v>85.0</v>
      </c>
      <c r="P21" s="15">
        <v>100.0</v>
      </c>
      <c r="Q21" s="15"/>
      <c r="R21" s="15">
        <v>5.7</v>
      </c>
      <c r="S21" s="15">
        <v>1.0</v>
      </c>
      <c r="T21" s="15"/>
      <c r="U21" s="15">
        <v>90.0</v>
      </c>
      <c r="V21" s="15">
        <v>94.0</v>
      </c>
      <c r="W21" s="15"/>
      <c r="X21" s="15">
        <v>6.7</v>
      </c>
      <c r="Y21" s="15">
        <v>88.95</v>
      </c>
      <c r="Z21" s="15">
        <v>87.5</v>
      </c>
      <c r="AA21" s="15">
        <v>2.3</v>
      </c>
      <c r="AB21" s="15">
        <f t="shared" si="2"/>
        <v>9.01125</v>
      </c>
      <c r="AC21" s="15">
        <f t="shared" si="3"/>
        <v>4.5</v>
      </c>
      <c r="AD21" s="15">
        <f t="shared" si="4"/>
        <v>0.2</v>
      </c>
      <c r="AE21" s="15">
        <f t="shared" si="5"/>
        <v>5.60225</v>
      </c>
    </row>
    <row r="22" ht="24.0" customHeight="1">
      <c r="A22" s="15" t="s">
        <v>93</v>
      </c>
      <c r="B22" s="15" t="s">
        <v>94</v>
      </c>
      <c r="C22" s="15" t="s">
        <v>95</v>
      </c>
      <c r="D22" s="16">
        <f>iferror(sumif(E22:AA22,"&lt;&gt;")/sumif(E22:AA22,"&lt;&gt;",E3:AA3),"")</f>
        <v>0.9239946381</v>
      </c>
      <c r="E22" s="15"/>
      <c r="F22" s="15">
        <v>1.7</v>
      </c>
      <c r="G22" s="15">
        <v>1.0</v>
      </c>
      <c r="H22" s="15">
        <v>1.0</v>
      </c>
      <c r="I22" s="15">
        <v>96.0</v>
      </c>
      <c r="J22" s="15"/>
      <c r="K22" s="15">
        <v>1.0</v>
      </c>
      <c r="L22" s="15">
        <v>90.0</v>
      </c>
      <c r="M22" s="15">
        <v>1.0</v>
      </c>
      <c r="N22" s="15"/>
      <c r="O22" s="15">
        <v>91.7</v>
      </c>
      <c r="P22" s="15">
        <v>98.0</v>
      </c>
      <c r="Q22" s="15"/>
      <c r="R22" s="15">
        <v>7.6</v>
      </c>
      <c r="S22" s="15">
        <v>1.0</v>
      </c>
      <c r="T22" s="15">
        <v>1.0</v>
      </c>
      <c r="U22" s="15">
        <v>90.0</v>
      </c>
      <c r="V22" s="15">
        <v>100.0</v>
      </c>
      <c r="W22" s="15"/>
      <c r="X22" s="15">
        <v>5.8</v>
      </c>
      <c r="Y22" s="15"/>
      <c r="Z22" s="15">
        <v>100.0</v>
      </c>
      <c r="AA22" s="15">
        <v>2.5</v>
      </c>
      <c r="AB22" s="15">
        <f t="shared" si="2"/>
        <v>7.25</v>
      </c>
      <c r="AC22" s="15">
        <f t="shared" si="3"/>
        <v>4.15</v>
      </c>
      <c r="AD22" s="15">
        <f t="shared" si="4"/>
        <v>0.4</v>
      </c>
      <c r="AE22" s="15">
        <f t="shared" si="5"/>
        <v>5.17</v>
      </c>
    </row>
    <row r="23" ht="24.0" customHeight="1">
      <c r="A23" s="15" t="s">
        <v>96</v>
      </c>
      <c r="B23" s="15" t="s">
        <v>97</v>
      </c>
      <c r="C23" s="15" t="s">
        <v>98</v>
      </c>
      <c r="D23" s="16">
        <f>iferror(sumif(E23:AA23,"&lt;&gt;")/sumif(E23:AA23,"&lt;&gt;",E3:AA3),"")</f>
        <v>0.9779207921</v>
      </c>
      <c r="E23" s="15"/>
      <c r="F23" s="15"/>
      <c r="G23" s="15"/>
      <c r="H23" s="15"/>
      <c r="I23" s="15"/>
      <c r="J23" s="15"/>
      <c r="K23" s="15">
        <v>1.0</v>
      </c>
      <c r="L23" s="15">
        <v>97.77</v>
      </c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>
        <f t="shared" si="2"/>
        <v>0</v>
      </c>
      <c r="AC23" s="15">
        <f t="shared" si="3"/>
        <v>0</v>
      </c>
      <c r="AD23" s="15">
        <f t="shared" si="4"/>
        <v>0</v>
      </c>
      <c r="AE23" s="15">
        <f t="shared" si="5"/>
        <v>0</v>
      </c>
    </row>
    <row r="24" ht="24.0" customHeight="1">
      <c r="A24" s="15" t="s">
        <v>99</v>
      </c>
      <c r="B24" s="15" t="s">
        <v>100</v>
      </c>
      <c r="C24" s="15" t="s">
        <v>101</v>
      </c>
      <c r="D24" s="16">
        <f>iferror(sumif(E24:AA24,"&lt;&gt;")/sumif(E24:AA24,"&lt;&gt;",E3:AA3),"")</f>
        <v>0.9637894737</v>
      </c>
      <c r="E24" s="15">
        <v>1.0</v>
      </c>
      <c r="F24" s="15">
        <v>9.8</v>
      </c>
      <c r="G24" s="15">
        <v>1.0</v>
      </c>
      <c r="H24" s="15">
        <v>1.0</v>
      </c>
      <c r="I24" s="15">
        <v>100.0</v>
      </c>
      <c r="J24" s="15">
        <v>98.0</v>
      </c>
      <c r="K24" s="15">
        <v>1.0</v>
      </c>
      <c r="L24" s="15">
        <v>95.0</v>
      </c>
      <c r="M24" s="15">
        <v>1.0</v>
      </c>
      <c r="N24" s="15">
        <v>1.0</v>
      </c>
      <c r="O24" s="15">
        <v>100.0</v>
      </c>
      <c r="P24" s="15">
        <v>98.0</v>
      </c>
      <c r="Q24" s="15">
        <v>1.0</v>
      </c>
      <c r="R24" s="15">
        <v>8.8</v>
      </c>
      <c r="S24" s="15">
        <v>1.0</v>
      </c>
      <c r="T24" s="15">
        <v>1.0</v>
      </c>
      <c r="U24" s="15">
        <v>100.0</v>
      </c>
      <c r="V24" s="15">
        <v>98.0</v>
      </c>
      <c r="W24" s="15">
        <v>1.0</v>
      </c>
      <c r="X24" s="15">
        <v>10.0</v>
      </c>
      <c r="Y24" s="15">
        <v>90.0</v>
      </c>
      <c r="Z24" s="15">
        <v>90.0</v>
      </c>
      <c r="AA24" s="15">
        <v>8.0</v>
      </c>
      <c r="AB24" s="15">
        <f t="shared" si="2"/>
        <v>9.45</v>
      </c>
      <c r="AC24" s="15">
        <f t="shared" si="3"/>
        <v>9</v>
      </c>
      <c r="AD24" s="15">
        <f t="shared" si="4"/>
        <v>1</v>
      </c>
      <c r="AE24" s="15">
        <f t="shared" si="5"/>
        <v>10.09</v>
      </c>
    </row>
    <row r="25" ht="24.0" customHeight="1">
      <c r="A25" s="15" t="s">
        <v>102</v>
      </c>
      <c r="B25" s="15" t="s">
        <v>103</v>
      </c>
      <c r="C25" s="15" t="s">
        <v>104</v>
      </c>
      <c r="D25" s="16">
        <f>iferror(sumif(E25:AA25,"&lt;&gt;")/sumif(E25:AA25,"&lt;&gt;",E3:AA3),"")</f>
        <v>0.9426610348</v>
      </c>
      <c r="E25" s="15"/>
      <c r="F25" s="15">
        <v>4.3</v>
      </c>
      <c r="G25" s="15"/>
      <c r="H25" s="15">
        <v>1.0</v>
      </c>
      <c r="I25" s="15">
        <v>100.0</v>
      </c>
      <c r="J25" s="15">
        <v>89.9</v>
      </c>
      <c r="K25" s="15">
        <v>1.0</v>
      </c>
      <c r="L25" s="15">
        <v>98.0</v>
      </c>
      <c r="M25" s="15">
        <v>1.0</v>
      </c>
      <c r="N25" s="15">
        <v>1.0</v>
      </c>
      <c r="O25" s="15">
        <v>100.0</v>
      </c>
      <c r="P25" s="15">
        <v>90.0</v>
      </c>
      <c r="Q25" s="15">
        <v>1.0</v>
      </c>
      <c r="R25" s="15">
        <v>2.0</v>
      </c>
      <c r="S25" s="15">
        <v>1.0</v>
      </c>
      <c r="T25" s="15">
        <v>1.0</v>
      </c>
      <c r="U25" s="15">
        <v>100.0</v>
      </c>
      <c r="V25" s="15">
        <v>100.0</v>
      </c>
      <c r="W25" s="15"/>
      <c r="X25" s="15">
        <v>1.5</v>
      </c>
      <c r="Y25" s="15">
        <v>100.0</v>
      </c>
      <c r="Z25" s="15">
        <v>100.0</v>
      </c>
      <c r="AA25" s="15">
        <v>0.0</v>
      </c>
      <c r="AB25" s="15">
        <f t="shared" si="2"/>
        <v>10</v>
      </c>
      <c r="AC25" s="15">
        <f t="shared" si="3"/>
        <v>0.75</v>
      </c>
      <c r="AD25" s="15">
        <f t="shared" si="4"/>
        <v>0.6</v>
      </c>
      <c r="AE25" s="15">
        <f t="shared" si="5"/>
        <v>3.2</v>
      </c>
    </row>
    <row r="26" ht="24.0" customHeight="1">
      <c r="A26" s="15" t="s">
        <v>105</v>
      </c>
      <c r="B26" s="15" t="s">
        <v>106</v>
      </c>
      <c r="C26" s="15" t="s">
        <v>107</v>
      </c>
      <c r="D26" s="16">
        <f>iferror(sumif(E26:AA26,"&lt;&gt;")/sumif(E26:AA26,"&lt;&gt;",E3:AA3),"")</f>
        <v>0.9125079365</v>
      </c>
      <c r="E26" s="15"/>
      <c r="F26" s="15">
        <v>2.0</v>
      </c>
      <c r="G26" s="15">
        <v>1.0</v>
      </c>
      <c r="H26" s="15"/>
      <c r="I26" s="15">
        <v>97.0</v>
      </c>
      <c r="J26" s="15">
        <v>88.0</v>
      </c>
      <c r="K26" s="15">
        <v>1.0</v>
      </c>
      <c r="L26" s="15">
        <v>90.0</v>
      </c>
      <c r="M26" s="15"/>
      <c r="N26" s="15">
        <v>1.0</v>
      </c>
      <c r="O26" s="15">
        <v>100.0</v>
      </c>
      <c r="P26" s="15">
        <v>95.24</v>
      </c>
      <c r="Q26" s="15">
        <v>1.0</v>
      </c>
      <c r="R26" s="15">
        <v>6.5</v>
      </c>
      <c r="S26" s="15">
        <v>1.0</v>
      </c>
      <c r="T26" s="15"/>
      <c r="U26" s="15">
        <v>97.5</v>
      </c>
      <c r="V26" s="15">
        <v>91.0</v>
      </c>
      <c r="W26" s="15"/>
      <c r="X26" s="15">
        <v>5.2</v>
      </c>
      <c r="Y26" s="15">
        <v>82.08</v>
      </c>
      <c r="Z26" s="15">
        <v>100.0</v>
      </c>
      <c r="AA26" s="15">
        <v>2.8</v>
      </c>
      <c r="AB26" s="15">
        <f t="shared" si="2"/>
        <v>9.2645</v>
      </c>
      <c r="AC26" s="15">
        <f t="shared" si="3"/>
        <v>4</v>
      </c>
      <c r="AD26" s="15">
        <f t="shared" si="4"/>
        <v>0.4</v>
      </c>
      <c r="AE26" s="15">
        <f t="shared" si="5"/>
        <v>5.4529</v>
      </c>
    </row>
    <row r="27" ht="24.0" customHeight="1">
      <c r="A27" s="15" t="s">
        <v>108</v>
      </c>
      <c r="B27" s="15" t="s">
        <v>109</v>
      </c>
      <c r="C27" s="15" t="s">
        <v>110</v>
      </c>
      <c r="D27" s="16">
        <f>iferror(sumif(E27:AA27,"&lt;&gt;")/sumif(E27:AA27,"&lt;&gt;",E3:AA3),"")</f>
        <v>0.9092592593</v>
      </c>
      <c r="E27" s="15">
        <v>1.0</v>
      </c>
      <c r="F27" s="15">
        <v>5.7</v>
      </c>
      <c r="G27" s="15"/>
      <c r="H27" s="15"/>
      <c r="I27" s="15">
        <v>95.5</v>
      </c>
      <c r="J27" s="15">
        <v>70.0</v>
      </c>
      <c r="K27" s="15"/>
      <c r="L27" s="15">
        <v>90.0</v>
      </c>
      <c r="M27" s="15">
        <v>1.0</v>
      </c>
      <c r="N27" s="15">
        <v>1.0</v>
      </c>
      <c r="O27" s="15">
        <v>100.0</v>
      </c>
      <c r="P27" s="15">
        <v>100.0</v>
      </c>
      <c r="Q27" s="15"/>
      <c r="R27" s="15">
        <v>3.5</v>
      </c>
      <c r="S27" s="15">
        <v>1.0</v>
      </c>
      <c r="T27" s="15"/>
      <c r="U27" s="15">
        <v>100.0</v>
      </c>
      <c r="V27" s="15">
        <v>100.0</v>
      </c>
      <c r="W27" s="15">
        <v>1.0</v>
      </c>
      <c r="X27" s="15">
        <v>1.5</v>
      </c>
      <c r="Y27" s="15">
        <v>91.7</v>
      </c>
      <c r="Z27" s="15">
        <v>93.75</v>
      </c>
      <c r="AA27" s="15">
        <v>2.6</v>
      </c>
      <c r="AB27" s="15">
        <f t="shared" si="2"/>
        <v>9.63625</v>
      </c>
      <c r="AC27" s="15">
        <f t="shared" si="3"/>
        <v>2.05</v>
      </c>
      <c r="AD27" s="15">
        <f t="shared" si="4"/>
        <v>0.6</v>
      </c>
      <c r="AE27" s="15">
        <f t="shared" si="5"/>
        <v>4.16725</v>
      </c>
    </row>
    <row r="28" ht="24.0" customHeight="1">
      <c r="A28" s="15" t="s">
        <v>111</v>
      </c>
      <c r="B28" s="15" t="s">
        <v>112</v>
      </c>
      <c r="C28" s="15" t="s">
        <v>113</v>
      </c>
      <c r="D28" s="16">
        <f>iferror(sumif(E28:AA28,"&lt;&gt;")/sumif(E28:AA28,"&lt;&gt;",E3:AA3),"")</f>
        <v>0.8614754098</v>
      </c>
      <c r="E28" s="15">
        <v>1.0</v>
      </c>
      <c r="F28" s="15">
        <v>0.0</v>
      </c>
      <c r="G28" s="15"/>
      <c r="H28" s="15"/>
      <c r="I28" s="15">
        <v>100.0</v>
      </c>
      <c r="J28" s="15">
        <v>89.0</v>
      </c>
      <c r="K28" s="15"/>
      <c r="L28" s="15">
        <v>52.4</v>
      </c>
      <c r="M28" s="15"/>
      <c r="N28" s="15"/>
      <c r="O28" s="15">
        <v>91.7</v>
      </c>
      <c r="P28" s="15">
        <v>100.0</v>
      </c>
      <c r="Q28" s="15"/>
      <c r="R28" s="15">
        <v>0.0</v>
      </c>
      <c r="S28" s="15">
        <v>1.0</v>
      </c>
      <c r="T28" s="15"/>
      <c r="U28" s="15">
        <v>95.0</v>
      </c>
      <c r="V28" s="15">
        <v>100.0</v>
      </c>
      <c r="W28" s="15"/>
      <c r="X28" s="15">
        <v>0.5</v>
      </c>
      <c r="Y28" s="15"/>
      <c r="Z28" s="15"/>
      <c r="AA28" s="15"/>
      <c r="AB28" s="15">
        <f t="shared" si="2"/>
        <v>4.875</v>
      </c>
      <c r="AC28" s="15">
        <f t="shared" si="3"/>
        <v>0.25</v>
      </c>
      <c r="AD28" s="15">
        <f t="shared" si="4"/>
        <v>0.4</v>
      </c>
      <c r="AE28" s="15">
        <f t="shared" si="5"/>
        <v>1.575</v>
      </c>
    </row>
    <row r="29" ht="24.0" customHeight="1">
      <c r="A29" s="15" t="s">
        <v>114</v>
      </c>
      <c r="B29" s="15" t="s">
        <v>115</v>
      </c>
      <c r="C29" s="15" t="s">
        <v>116</v>
      </c>
      <c r="D29" s="16">
        <f>iferror(sumif(E29:AA29,"&lt;&gt;")/sumif(E29:AA29,"&lt;&gt;",E3:AA3),"")</f>
        <v>0.9656862745</v>
      </c>
      <c r="E29" s="15"/>
      <c r="F29" s="15"/>
      <c r="G29" s="15"/>
      <c r="H29" s="15">
        <v>1.0</v>
      </c>
      <c r="I29" s="15">
        <v>96.5</v>
      </c>
      <c r="J29" s="15"/>
      <c r="K29" s="15">
        <v>1.0</v>
      </c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>
        <f t="shared" si="2"/>
        <v>0</v>
      </c>
      <c r="AC29" s="15">
        <f t="shared" si="3"/>
        <v>0</v>
      </c>
      <c r="AD29" s="15">
        <f t="shared" si="4"/>
        <v>0</v>
      </c>
      <c r="AE29" s="15">
        <f t="shared" si="5"/>
        <v>0</v>
      </c>
    </row>
    <row r="30" ht="24.0" customHeight="1">
      <c r="A30" s="15" t="s">
        <v>117</v>
      </c>
      <c r="B30" s="15" t="s">
        <v>118</v>
      </c>
      <c r="C30" s="15" t="s">
        <v>119</v>
      </c>
      <c r="D30" s="16">
        <f>iferror(sumif(E30:AA30,"&lt;&gt;")/sumif(E30:AA30,"&lt;&gt;",E3:AA3),"")</f>
        <v>0.9402372479</v>
      </c>
      <c r="E30" s="15"/>
      <c r="F30" s="15">
        <v>2.0</v>
      </c>
      <c r="G30" s="15"/>
      <c r="H30" s="15"/>
      <c r="I30" s="15"/>
      <c r="J30" s="15">
        <v>98.9</v>
      </c>
      <c r="K30" s="15">
        <v>1.0</v>
      </c>
      <c r="L30" s="15">
        <v>90.0</v>
      </c>
      <c r="M30" s="15"/>
      <c r="N30" s="15">
        <v>1.0</v>
      </c>
      <c r="O30" s="15">
        <v>100.0</v>
      </c>
      <c r="P30" s="15">
        <v>98.0</v>
      </c>
      <c r="Q30" s="15"/>
      <c r="R30" s="15">
        <v>5.3</v>
      </c>
      <c r="S30" s="15"/>
      <c r="T30" s="15">
        <v>1.0</v>
      </c>
      <c r="U30" s="15">
        <v>97.5</v>
      </c>
      <c r="V30" s="15">
        <v>100.0</v>
      </c>
      <c r="W30" s="15"/>
      <c r="X30" s="15">
        <v>2.2</v>
      </c>
      <c r="Y30" s="15">
        <v>93.12</v>
      </c>
      <c r="Z30" s="15">
        <v>100.0</v>
      </c>
      <c r="AA30" s="15">
        <v>2.6</v>
      </c>
      <c r="AB30" s="15">
        <f t="shared" si="2"/>
        <v>9.7655</v>
      </c>
      <c r="AC30" s="15">
        <f t="shared" si="3"/>
        <v>2.4</v>
      </c>
      <c r="AD30" s="15">
        <f t="shared" si="4"/>
        <v>0.2</v>
      </c>
      <c r="AE30" s="15">
        <f t="shared" si="5"/>
        <v>4.0731</v>
      </c>
    </row>
    <row r="31" ht="24.0" customHeight="1">
      <c r="A31" s="15" t="s">
        <v>120</v>
      </c>
      <c r="B31" s="15" t="s">
        <v>121</v>
      </c>
      <c r="C31" s="15" t="s">
        <v>122</v>
      </c>
      <c r="D31" s="16">
        <f>iferror(sumif(E31:AA31,"&lt;&gt;")/sumif(E31:AA31,"&lt;&gt;",E3:AA3),"")</f>
        <v>0.4</v>
      </c>
      <c r="E31" s="15"/>
      <c r="F31" s="15">
        <v>4.4</v>
      </c>
      <c r="G31" s="15"/>
      <c r="H31" s="15"/>
      <c r="I31" s="15"/>
      <c r="J31" s="15"/>
      <c r="K31" s="15">
        <v>1.0</v>
      </c>
      <c r="L31" s="15"/>
      <c r="M31" s="15"/>
      <c r="N31" s="15"/>
      <c r="O31" s="15"/>
      <c r="P31" s="15"/>
      <c r="Q31" s="15"/>
      <c r="R31" s="15">
        <v>0.0</v>
      </c>
      <c r="S31" s="15"/>
      <c r="T31" s="15"/>
      <c r="U31" s="15"/>
      <c r="V31" s="15"/>
      <c r="W31" s="15"/>
      <c r="X31" s="15">
        <v>3.5</v>
      </c>
      <c r="Y31" s="15"/>
      <c r="Z31" s="15"/>
      <c r="AA31" s="15">
        <v>7.5</v>
      </c>
      <c r="AB31" s="15">
        <f t="shared" si="2"/>
        <v>0</v>
      </c>
      <c r="AC31" s="15">
        <f t="shared" si="3"/>
        <v>5.5</v>
      </c>
      <c r="AD31" s="15">
        <f t="shared" si="4"/>
        <v>0</v>
      </c>
      <c r="AE31" s="15">
        <f t="shared" si="5"/>
        <v>4.4</v>
      </c>
    </row>
    <row r="32" ht="24.0" customHeight="1">
      <c r="A32" s="15" t="s">
        <v>123</v>
      </c>
      <c r="B32" s="15" t="s">
        <v>124</v>
      </c>
      <c r="C32" s="15" t="s">
        <v>125</v>
      </c>
      <c r="D32" s="16" t="str">
        <f>iferror(sumif(E32:AA32,"&lt;&gt;")/sumif(E32:AA32,"&lt;&gt;",E3:AA3),"")</f>
        <v/>
      </c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>
        <f t="shared" si="2"/>
        <v>0</v>
      </c>
      <c r="AC32" s="15">
        <f t="shared" si="3"/>
        <v>0</v>
      </c>
      <c r="AD32" s="15">
        <f t="shared" si="4"/>
        <v>0</v>
      </c>
      <c r="AE32" s="15">
        <f t="shared" si="5"/>
        <v>0</v>
      </c>
    </row>
    <row r="33" ht="24.0" customHeight="1">
      <c r="A33" s="15" t="s">
        <v>126</v>
      </c>
      <c r="B33" s="15" t="s">
        <v>127</v>
      </c>
      <c r="C33" s="15" t="s">
        <v>128</v>
      </c>
      <c r="D33" s="16" t="str">
        <f>iferror(sumif(E33:AA33,"&lt;&gt;")/sumif(E33:AA33,"&lt;&gt;",E3:AA3),"")</f>
        <v/>
      </c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>
        <f t="shared" si="2"/>
        <v>0</v>
      </c>
      <c r="AC33" s="15">
        <f t="shared" si="3"/>
        <v>0</v>
      </c>
      <c r="AD33" s="15">
        <f t="shared" si="4"/>
        <v>0</v>
      </c>
      <c r="AE33" s="15">
        <f t="shared" si="5"/>
        <v>0</v>
      </c>
    </row>
    <row r="34" ht="24.0" customHeight="1">
      <c r="A34" s="15" t="s">
        <v>129</v>
      </c>
      <c r="B34" s="15" t="s">
        <v>130</v>
      </c>
      <c r="C34" s="15" t="s">
        <v>131</v>
      </c>
      <c r="D34" s="16">
        <f>iferror(sumif(E34:AA34,"&lt;&gt;")/sumif(E34:AA34,"&lt;&gt;",E3:AA3),"")</f>
        <v>0.8004968288</v>
      </c>
      <c r="E34" s="15"/>
      <c r="F34" s="15">
        <v>7.5</v>
      </c>
      <c r="G34" s="15">
        <v>1.0</v>
      </c>
      <c r="H34" s="15">
        <v>1.0</v>
      </c>
      <c r="I34" s="15">
        <v>8.12</v>
      </c>
      <c r="J34" s="15">
        <v>70.0</v>
      </c>
      <c r="K34" s="15">
        <v>1.0</v>
      </c>
      <c r="L34" s="15">
        <v>80.0</v>
      </c>
      <c r="M34" s="15"/>
      <c r="N34" s="15">
        <v>1.0</v>
      </c>
      <c r="O34" s="15">
        <v>100.0</v>
      </c>
      <c r="P34" s="15">
        <v>92.85</v>
      </c>
      <c r="Q34" s="15"/>
      <c r="R34" s="15">
        <v>7.0</v>
      </c>
      <c r="S34" s="15">
        <v>1.0</v>
      </c>
      <c r="T34" s="15">
        <v>1.0</v>
      </c>
      <c r="U34" s="15">
        <v>100.0</v>
      </c>
      <c r="V34" s="15">
        <v>100.0</v>
      </c>
      <c r="W34" s="15"/>
      <c r="X34" s="15">
        <v>8.5</v>
      </c>
      <c r="Y34" s="15">
        <v>75.0</v>
      </c>
      <c r="Z34" s="15">
        <v>100.0</v>
      </c>
      <c r="AA34" s="15">
        <v>2.3</v>
      </c>
      <c r="AB34" s="15">
        <f t="shared" si="2"/>
        <v>9.375</v>
      </c>
      <c r="AC34" s="15">
        <f t="shared" si="3"/>
        <v>5.4</v>
      </c>
      <c r="AD34" s="15">
        <f t="shared" si="4"/>
        <v>0.4</v>
      </c>
      <c r="AE34" s="15">
        <f t="shared" si="5"/>
        <v>6.595</v>
      </c>
    </row>
    <row r="35" ht="24.0" customHeight="1">
      <c r="A35" s="15" t="s">
        <v>132</v>
      </c>
      <c r="B35" s="15" t="s">
        <v>133</v>
      </c>
      <c r="C35" s="15" t="s">
        <v>134</v>
      </c>
      <c r="D35" s="16">
        <f>iferror(sumif(E35:AA35,"&lt;&gt;")/sumif(E35:AA35,"&lt;&gt;",E3:AA3),"")</f>
        <v>0.9514792899</v>
      </c>
      <c r="E35" s="15">
        <v>1.0</v>
      </c>
      <c r="F35" s="15">
        <v>3.9</v>
      </c>
      <c r="G35" s="15">
        <v>1.0</v>
      </c>
      <c r="H35" s="15">
        <v>1.0</v>
      </c>
      <c r="I35" s="15">
        <v>100.0</v>
      </c>
      <c r="J35" s="15"/>
      <c r="K35" s="15"/>
      <c r="L35" s="15">
        <v>100.0</v>
      </c>
      <c r="M35" s="15"/>
      <c r="N35" s="15"/>
      <c r="O35" s="15">
        <v>95.0</v>
      </c>
      <c r="P35" s="15">
        <v>100.0</v>
      </c>
      <c r="Q35" s="15"/>
      <c r="R35" s="15">
        <v>2.2</v>
      </c>
      <c r="S35" s="15">
        <v>1.0</v>
      </c>
      <c r="T35" s="15">
        <v>1.0</v>
      </c>
      <c r="U35" s="15">
        <v>100.0</v>
      </c>
      <c r="V35" s="15">
        <v>100.0</v>
      </c>
      <c r="W35" s="15"/>
      <c r="X35" s="15">
        <v>3.2</v>
      </c>
      <c r="Y35" s="15">
        <v>91.7</v>
      </c>
      <c r="Z35" s="15">
        <v>100.0</v>
      </c>
      <c r="AA35" s="15">
        <v>3.0</v>
      </c>
      <c r="AB35" s="15">
        <f t="shared" si="2"/>
        <v>9.7925</v>
      </c>
      <c r="AC35" s="15">
        <f t="shared" si="3"/>
        <v>3.1</v>
      </c>
      <c r="AD35" s="15">
        <f t="shared" si="4"/>
        <v>0.6</v>
      </c>
      <c r="AE35" s="15">
        <f t="shared" si="5"/>
        <v>5.0385</v>
      </c>
    </row>
    <row r="36" ht="24.0" customHeight="1">
      <c r="A36" s="15" t="s">
        <v>135</v>
      </c>
      <c r="B36" s="15" t="s">
        <v>136</v>
      </c>
      <c r="C36" s="15" t="s">
        <v>137</v>
      </c>
      <c r="D36" s="16">
        <f>iferror(sumif(E36:AA36,"&lt;&gt;")/sumif(E36:AA36,"&lt;&gt;",E3:AA3),"")</f>
        <v>0.9682663848</v>
      </c>
      <c r="E36" s="15">
        <v>1.0</v>
      </c>
      <c r="F36" s="15">
        <v>7.0</v>
      </c>
      <c r="G36" s="15"/>
      <c r="H36" s="15">
        <v>1.0</v>
      </c>
      <c r="I36" s="15">
        <v>99.0</v>
      </c>
      <c r="J36" s="15">
        <v>100.0</v>
      </c>
      <c r="K36" s="15">
        <v>1.0</v>
      </c>
      <c r="L36" s="15">
        <v>100.0</v>
      </c>
      <c r="M36" s="15">
        <v>1.0</v>
      </c>
      <c r="N36" s="15">
        <v>1.0</v>
      </c>
      <c r="O36" s="15">
        <v>90.0</v>
      </c>
      <c r="P36" s="15">
        <v>100.0</v>
      </c>
      <c r="Q36" s="15"/>
      <c r="R36" s="15">
        <v>4.0</v>
      </c>
      <c r="S36" s="15">
        <v>1.0</v>
      </c>
      <c r="T36" s="15"/>
      <c r="U36" s="15">
        <v>100.0</v>
      </c>
      <c r="V36" s="15">
        <v>100.0</v>
      </c>
      <c r="W36" s="15"/>
      <c r="X36" s="15">
        <v>8.2</v>
      </c>
      <c r="Y36" s="15">
        <v>100.0</v>
      </c>
      <c r="Z36" s="15">
        <v>96.88</v>
      </c>
      <c r="AA36" s="15">
        <v>4.9</v>
      </c>
      <c r="AB36" s="15">
        <f t="shared" si="2"/>
        <v>9.922</v>
      </c>
      <c r="AC36" s="15">
        <f t="shared" si="3"/>
        <v>6.55</v>
      </c>
      <c r="AD36" s="15">
        <f t="shared" si="4"/>
        <v>0.4</v>
      </c>
      <c r="AE36" s="15">
        <f t="shared" si="5"/>
        <v>7.6244</v>
      </c>
    </row>
    <row r="37" ht="24.0" customHeight="1">
      <c r="A37" s="15" t="s">
        <v>138</v>
      </c>
      <c r="B37" s="15" t="s">
        <v>139</v>
      </c>
      <c r="C37" s="15" t="s">
        <v>140</v>
      </c>
      <c r="D37" s="16">
        <f>iferror(sumif(E37:AA37,"&lt;&gt;")/sumif(E37:AA37,"&lt;&gt;",E3:AA3),"")</f>
        <v>0.9202330508</v>
      </c>
      <c r="E37" s="15"/>
      <c r="F37" s="15">
        <v>3.8</v>
      </c>
      <c r="G37" s="15">
        <v>1.0</v>
      </c>
      <c r="H37" s="15">
        <v>1.0</v>
      </c>
      <c r="I37" s="15">
        <v>99.0</v>
      </c>
      <c r="J37" s="15">
        <v>90.0</v>
      </c>
      <c r="K37" s="15"/>
      <c r="L37" s="15">
        <v>85.0</v>
      </c>
      <c r="M37" s="15"/>
      <c r="N37" s="15"/>
      <c r="O37" s="15">
        <v>100.0</v>
      </c>
      <c r="P37" s="15">
        <v>80.0</v>
      </c>
      <c r="Q37" s="15"/>
      <c r="R37" s="15">
        <v>0.7</v>
      </c>
      <c r="S37" s="15">
        <v>1.0</v>
      </c>
      <c r="T37" s="15">
        <v>1.0</v>
      </c>
      <c r="U37" s="15">
        <v>100.0</v>
      </c>
      <c r="V37" s="15">
        <v>100.0</v>
      </c>
      <c r="W37" s="15"/>
      <c r="X37" s="15">
        <v>4.2</v>
      </c>
      <c r="Y37" s="15">
        <v>100.0</v>
      </c>
      <c r="Z37" s="15">
        <v>100.0</v>
      </c>
      <c r="AA37" s="15">
        <v>2.0</v>
      </c>
      <c r="AB37" s="15">
        <f t="shared" si="2"/>
        <v>10</v>
      </c>
      <c r="AC37" s="15">
        <f t="shared" si="3"/>
        <v>3.1</v>
      </c>
      <c r="AD37" s="15">
        <f t="shared" si="4"/>
        <v>0.4</v>
      </c>
      <c r="AE37" s="15">
        <f t="shared" si="5"/>
        <v>4.88</v>
      </c>
    </row>
    <row r="38" ht="24.0" customHeight="1">
      <c r="A38" s="15" t="s">
        <v>141</v>
      </c>
      <c r="B38" s="15" t="s">
        <v>142</v>
      </c>
      <c r="C38" s="15" t="s">
        <v>143</v>
      </c>
      <c r="D38" s="16">
        <f>iferror(sumif(E38:AA38,"&lt;&gt;")/sumif(E38:AA38,"&lt;&gt;",E3:AA3),"")</f>
        <v>0.9529299363</v>
      </c>
      <c r="E38" s="15"/>
      <c r="F38" s="15">
        <v>9.2</v>
      </c>
      <c r="G38" s="15"/>
      <c r="H38" s="15">
        <v>1.0</v>
      </c>
      <c r="I38" s="15">
        <v>100.0</v>
      </c>
      <c r="J38" s="15">
        <v>90.0</v>
      </c>
      <c r="K38" s="15"/>
      <c r="L38" s="15">
        <v>85.0</v>
      </c>
      <c r="M38" s="15"/>
      <c r="N38" s="15"/>
      <c r="O38" s="15">
        <v>100.0</v>
      </c>
      <c r="P38" s="15">
        <v>95.24</v>
      </c>
      <c r="Q38" s="15"/>
      <c r="R38" s="15">
        <v>7.0</v>
      </c>
      <c r="S38" s="15">
        <v>1.0</v>
      </c>
      <c r="T38" s="15"/>
      <c r="U38" s="15">
        <v>100.0</v>
      </c>
      <c r="V38" s="15">
        <v>100.0</v>
      </c>
      <c r="W38" s="15"/>
      <c r="X38" s="17">
        <v>6.8</v>
      </c>
      <c r="Y38" s="15">
        <v>98.62</v>
      </c>
      <c r="Z38" s="15">
        <v>100.0</v>
      </c>
      <c r="AA38" s="15">
        <v>3.8</v>
      </c>
      <c r="AB38" s="15">
        <f t="shared" si="2"/>
        <v>9.9655</v>
      </c>
      <c r="AC38" s="15">
        <f t="shared" si="3"/>
        <v>5.3</v>
      </c>
      <c r="AD38" s="15">
        <f t="shared" si="4"/>
        <v>0.2</v>
      </c>
      <c r="AE38" s="15">
        <f t="shared" si="5"/>
        <v>6.4331</v>
      </c>
    </row>
    <row r="39" ht="24.0" customHeight="1">
      <c r="A39" s="15" t="s">
        <v>144</v>
      </c>
      <c r="B39" s="15" t="s">
        <v>145</v>
      </c>
      <c r="C39" s="15" t="s">
        <v>146</v>
      </c>
      <c r="D39" s="16">
        <f>iferror(sumif(E39:AA39,"&lt;&gt;")/sumif(E39:AA39,"&lt;&gt;",E3:AA3),"")</f>
        <v>0.9656810982</v>
      </c>
      <c r="E39" s="15">
        <v>1.0</v>
      </c>
      <c r="F39" s="15">
        <v>4.0</v>
      </c>
      <c r="G39" s="15">
        <v>1.0</v>
      </c>
      <c r="H39" s="15">
        <v>1.0</v>
      </c>
      <c r="I39" s="15">
        <v>100.0</v>
      </c>
      <c r="J39" s="15">
        <v>98.0</v>
      </c>
      <c r="K39" s="15">
        <v>1.0</v>
      </c>
      <c r="L39" s="15">
        <v>100.0</v>
      </c>
      <c r="M39" s="15">
        <v>1.0</v>
      </c>
      <c r="N39" s="15"/>
      <c r="O39" s="15">
        <v>90.0</v>
      </c>
      <c r="P39" s="15">
        <v>100.0</v>
      </c>
      <c r="Q39" s="15">
        <v>1.0</v>
      </c>
      <c r="R39" s="15">
        <v>6.0</v>
      </c>
      <c r="S39" s="15">
        <v>1.0</v>
      </c>
      <c r="T39" s="15"/>
      <c r="U39" s="15">
        <v>98.0</v>
      </c>
      <c r="V39" s="15">
        <v>100.0</v>
      </c>
      <c r="W39" s="15"/>
      <c r="X39" s="15">
        <v>7.0</v>
      </c>
      <c r="Y39" s="15">
        <v>100.0</v>
      </c>
      <c r="Z39" s="15">
        <v>100.0</v>
      </c>
      <c r="AA39" s="15">
        <v>4.5</v>
      </c>
      <c r="AB39" s="15">
        <f t="shared" si="2"/>
        <v>9.95</v>
      </c>
      <c r="AC39" s="15">
        <f t="shared" si="3"/>
        <v>5.75</v>
      </c>
      <c r="AD39" s="15">
        <f t="shared" si="4"/>
        <v>0.6</v>
      </c>
      <c r="AE39" s="15">
        <f t="shared" si="5"/>
        <v>7.19</v>
      </c>
    </row>
    <row r="40" ht="24.0" customHeight="1">
      <c r="A40" s="15" t="s">
        <v>147</v>
      </c>
      <c r="B40" s="15" t="s">
        <v>148</v>
      </c>
      <c r="C40" s="15" t="s">
        <v>149</v>
      </c>
      <c r="D40" s="16">
        <f>iferror(sumif(E40:AA40,"&lt;&gt;")/sumif(E40:AA40,"&lt;&gt;",E3:AA3),"")</f>
        <v>0.9272534464</v>
      </c>
      <c r="E40" s="15"/>
      <c r="F40" s="15">
        <v>2.7</v>
      </c>
      <c r="G40" s="15">
        <v>1.0</v>
      </c>
      <c r="H40" s="15">
        <v>1.0</v>
      </c>
      <c r="I40" s="15">
        <v>98.5</v>
      </c>
      <c r="J40" s="15">
        <v>85.0</v>
      </c>
      <c r="K40" s="15"/>
      <c r="L40" s="15">
        <v>97.8</v>
      </c>
      <c r="M40" s="15"/>
      <c r="N40" s="15"/>
      <c r="O40" s="15">
        <v>100.0</v>
      </c>
      <c r="P40" s="15">
        <v>100.0</v>
      </c>
      <c r="Q40" s="15"/>
      <c r="R40" s="15">
        <v>2.0</v>
      </c>
      <c r="S40" s="15">
        <v>1.0</v>
      </c>
      <c r="T40" s="15"/>
      <c r="U40" s="15">
        <v>87.5</v>
      </c>
      <c r="V40" s="15">
        <v>87.0</v>
      </c>
      <c r="W40" s="15"/>
      <c r="X40" s="15">
        <v>4.0</v>
      </c>
      <c r="Y40" s="15">
        <v>100.0</v>
      </c>
      <c r="Z40" s="15">
        <v>100.0</v>
      </c>
      <c r="AA40" s="15">
        <v>6.9</v>
      </c>
      <c r="AB40" s="15">
        <f t="shared" si="2"/>
        <v>9.3625</v>
      </c>
      <c r="AC40" s="15">
        <f t="shared" si="3"/>
        <v>5.45</v>
      </c>
      <c r="AD40" s="15">
        <f t="shared" si="4"/>
        <v>0.2</v>
      </c>
      <c r="AE40" s="15">
        <f t="shared" si="5"/>
        <v>6.4325</v>
      </c>
    </row>
    <row r="41" ht="24.0" customHeight="1">
      <c r="A41" s="15" t="s">
        <v>150</v>
      </c>
      <c r="B41" s="15" t="s">
        <v>151</v>
      </c>
      <c r="C41" s="15" t="s">
        <v>152</v>
      </c>
      <c r="D41" s="16">
        <f>iferror(sumif(E41:AA41,"&lt;&gt;")/sumif(E41:AA41,"&lt;&gt;",E3:AA3),"")</f>
        <v>0.9713382508</v>
      </c>
      <c r="E41" s="15">
        <v>1.0</v>
      </c>
      <c r="F41" s="15">
        <v>9.8</v>
      </c>
      <c r="G41" s="15">
        <v>1.0</v>
      </c>
      <c r="H41" s="15">
        <v>1.0</v>
      </c>
      <c r="I41" s="15">
        <v>100.0</v>
      </c>
      <c r="J41" s="15">
        <v>100.0</v>
      </c>
      <c r="K41" s="15">
        <v>1.0</v>
      </c>
      <c r="L41" s="15">
        <v>100.0</v>
      </c>
      <c r="M41" s="15">
        <v>1.0</v>
      </c>
      <c r="N41" s="15">
        <v>1.0</v>
      </c>
      <c r="O41" s="15">
        <v>99.0</v>
      </c>
      <c r="P41" s="15">
        <v>98.0</v>
      </c>
      <c r="Q41" s="15"/>
      <c r="R41" s="15">
        <v>10.0</v>
      </c>
      <c r="S41" s="15">
        <v>1.0</v>
      </c>
      <c r="T41" s="15">
        <v>1.0</v>
      </c>
      <c r="U41" s="15">
        <v>95.0</v>
      </c>
      <c r="V41" s="15">
        <v>95.0</v>
      </c>
      <c r="W41" s="15">
        <v>1.0</v>
      </c>
      <c r="X41" s="15">
        <v>9.5</v>
      </c>
      <c r="Y41" s="15">
        <v>90.0</v>
      </c>
      <c r="Z41" s="15">
        <v>98.0</v>
      </c>
      <c r="AA41" s="15">
        <v>8.5</v>
      </c>
      <c r="AB41" s="15">
        <f t="shared" si="2"/>
        <v>9.45</v>
      </c>
      <c r="AC41" s="15">
        <f t="shared" si="3"/>
        <v>9</v>
      </c>
      <c r="AD41" s="15">
        <f t="shared" si="4"/>
        <v>0.8</v>
      </c>
      <c r="AE41" s="15">
        <f t="shared" si="5"/>
        <v>9.89</v>
      </c>
    </row>
    <row r="42" ht="24.0" customHeight="1">
      <c r="A42" s="15" t="s">
        <v>153</v>
      </c>
      <c r="B42" s="15" t="s">
        <v>154</v>
      </c>
      <c r="C42" s="15" t="s">
        <v>155</v>
      </c>
      <c r="D42" s="16">
        <f>iferror(sumif(E42:AA42,"&lt;&gt;")/sumif(E42:AA42,"&lt;&gt;",E3:AA3),"")</f>
        <v>0.8686624204</v>
      </c>
      <c r="E42" s="15"/>
      <c r="F42" s="15">
        <v>3.5</v>
      </c>
      <c r="G42" s="15"/>
      <c r="H42" s="15">
        <v>1.0</v>
      </c>
      <c r="I42" s="15">
        <v>95.5</v>
      </c>
      <c r="J42" s="15">
        <v>95.0</v>
      </c>
      <c r="K42" s="15"/>
      <c r="L42" s="15">
        <v>85.6</v>
      </c>
      <c r="M42" s="15"/>
      <c r="N42" s="15"/>
      <c r="O42" s="15">
        <v>93.76</v>
      </c>
      <c r="P42" s="15">
        <v>90.0</v>
      </c>
      <c r="Q42" s="15"/>
      <c r="R42" s="15">
        <v>5.0</v>
      </c>
      <c r="S42" s="15">
        <v>1.0</v>
      </c>
      <c r="T42" s="15"/>
      <c r="U42" s="15">
        <v>100.0</v>
      </c>
      <c r="V42" s="15">
        <v>80.0</v>
      </c>
      <c r="W42" s="15"/>
      <c r="X42" s="15">
        <v>6.5</v>
      </c>
      <c r="Y42" s="15">
        <v>80.0</v>
      </c>
      <c r="Z42" s="15">
        <v>78.12</v>
      </c>
      <c r="AA42" s="15">
        <v>3.3</v>
      </c>
      <c r="AB42" s="15">
        <f t="shared" si="2"/>
        <v>8.453</v>
      </c>
      <c r="AC42" s="15">
        <f t="shared" si="3"/>
        <v>4.9</v>
      </c>
      <c r="AD42" s="15">
        <f t="shared" si="4"/>
        <v>0.2</v>
      </c>
      <c r="AE42" s="15">
        <f t="shared" si="5"/>
        <v>5.8106</v>
      </c>
    </row>
    <row r="43" ht="24.0" customHeight="1">
      <c r="A43" s="15" t="s">
        <v>156</v>
      </c>
      <c r="B43" s="15" t="s">
        <v>157</v>
      </c>
      <c r="C43" s="15" t="s">
        <v>158</v>
      </c>
      <c r="D43" s="16">
        <f>iferror(sumif(E43:AA43,"&lt;&gt;")/sumif(E43:AA43,"&lt;&gt;",E3:AA3),"")</f>
        <v>0.8115555556</v>
      </c>
      <c r="E43" s="15"/>
      <c r="F43" s="15">
        <v>0.5</v>
      </c>
      <c r="G43" s="15">
        <v>1.0</v>
      </c>
      <c r="H43" s="15">
        <v>1.0</v>
      </c>
      <c r="I43" s="15">
        <v>79.5</v>
      </c>
      <c r="J43" s="15"/>
      <c r="K43" s="15">
        <v>1.0</v>
      </c>
      <c r="L43" s="15">
        <v>96.7</v>
      </c>
      <c r="M43" s="15"/>
      <c r="N43" s="15">
        <v>1.0</v>
      </c>
      <c r="O43" s="15"/>
      <c r="P43" s="15"/>
      <c r="Q43" s="15"/>
      <c r="R43" s="15">
        <v>0.9</v>
      </c>
      <c r="S43" s="15">
        <v>1.0</v>
      </c>
      <c r="T43" s="15"/>
      <c r="U43" s="15"/>
      <c r="V43" s="15"/>
      <c r="W43" s="15"/>
      <c r="X43" s="15"/>
      <c r="Y43" s="15"/>
      <c r="Z43" s="15"/>
      <c r="AA43" s="15"/>
      <c r="AB43" s="15">
        <f t="shared" si="2"/>
        <v>0</v>
      </c>
      <c r="AC43" s="15">
        <f t="shared" si="3"/>
        <v>0</v>
      </c>
      <c r="AD43" s="15">
        <f t="shared" si="4"/>
        <v>0.2</v>
      </c>
      <c r="AE43" s="15">
        <f t="shared" si="5"/>
        <v>0.2</v>
      </c>
    </row>
    <row r="44" ht="24.0" customHeight="1">
      <c r="A44" s="15" t="s">
        <v>159</v>
      </c>
      <c r="B44" s="15" t="s">
        <v>160</v>
      </c>
      <c r="C44" s="15" t="s">
        <v>161</v>
      </c>
      <c r="D44" s="16">
        <f>iferror(sumif(E44:AA44,"&lt;&gt;")/sumif(E44:AA44,"&lt;&gt;",E3:AA3),"")</f>
        <v>0.07096774194</v>
      </c>
      <c r="E44" s="15"/>
      <c r="F44" s="15">
        <v>0.2</v>
      </c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>
        <v>1.0</v>
      </c>
      <c r="R44" s="15">
        <v>1.0</v>
      </c>
      <c r="S44" s="15"/>
      <c r="T44" s="15"/>
      <c r="U44" s="15"/>
      <c r="V44" s="15"/>
      <c r="W44" s="15"/>
      <c r="X44" s="15">
        <v>0.0</v>
      </c>
      <c r="Y44" s="15"/>
      <c r="Z44" s="15"/>
      <c r="AA44" s="15"/>
      <c r="AB44" s="15">
        <f t="shared" si="2"/>
        <v>0</v>
      </c>
      <c r="AC44" s="15">
        <f t="shared" si="3"/>
        <v>0</v>
      </c>
      <c r="AD44" s="15">
        <f t="shared" si="4"/>
        <v>0.2</v>
      </c>
      <c r="AE44" s="15">
        <f t="shared" si="5"/>
        <v>0.2</v>
      </c>
    </row>
    <row r="45" ht="24.0" customHeight="1">
      <c r="A45" s="15" t="s">
        <v>162</v>
      </c>
      <c r="B45" s="15" t="s">
        <v>163</v>
      </c>
      <c r="C45" s="15" t="s">
        <v>164</v>
      </c>
      <c r="D45" s="16">
        <f>iferror(sumif(E45:AA45,"&lt;&gt;")/sumif(E45:AA45,"&lt;&gt;",E3:AA3),"")</f>
        <v>0.9125401929</v>
      </c>
      <c r="E45" s="15"/>
      <c r="F45" s="15">
        <v>0.0</v>
      </c>
      <c r="G45" s="15">
        <v>1.0</v>
      </c>
      <c r="H45" s="15"/>
      <c r="I45" s="15">
        <v>99.0</v>
      </c>
      <c r="J45" s="15">
        <v>98.8</v>
      </c>
      <c r="K45" s="15"/>
      <c r="L45" s="15">
        <v>85.0</v>
      </c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>
        <f t="shared" si="2"/>
        <v>0</v>
      </c>
      <c r="AC45" s="15">
        <f t="shared" si="3"/>
        <v>0</v>
      </c>
      <c r="AD45" s="15">
        <f t="shared" si="4"/>
        <v>0</v>
      </c>
      <c r="AE45" s="15">
        <f t="shared" si="5"/>
        <v>0</v>
      </c>
    </row>
    <row r="46" ht="24.0" customHeight="1">
      <c r="A46" s="15" t="s">
        <v>165</v>
      </c>
      <c r="B46" s="15" t="s">
        <v>166</v>
      </c>
      <c r="C46" s="15" t="s">
        <v>167</v>
      </c>
      <c r="D46" s="16">
        <f>iferror(sumif(E46:AA46,"&lt;&gt;")/sumif(E46:AA46,"&lt;&gt;",E3:AA3),"")</f>
        <v>0.9851654216</v>
      </c>
      <c r="E46" s="15">
        <v>1.0</v>
      </c>
      <c r="F46" s="15">
        <v>7.2</v>
      </c>
      <c r="G46" s="15"/>
      <c r="H46" s="15"/>
      <c r="I46" s="15">
        <v>98.0</v>
      </c>
      <c r="J46" s="15">
        <v>100.0</v>
      </c>
      <c r="K46" s="15">
        <v>1.0</v>
      </c>
      <c r="L46" s="15">
        <v>98.0</v>
      </c>
      <c r="M46" s="15">
        <v>1.0</v>
      </c>
      <c r="N46" s="15">
        <v>1.0</v>
      </c>
      <c r="O46" s="15">
        <v>99.0</v>
      </c>
      <c r="P46" s="15">
        <v>100.0</v>
      </c>
      <c r="Q46" s="15">
        <v>1.0</v>
      </c>
      <c r="R46" s="15">
        <v>8.2</v>
      </c>
      <c r="S46" s="15">
        <v>1.0</v>
      </c>
      <c r="T46" s="15"/>
      <c r="U46" s="15">
        <v>100.0</v>
      </c>
      <c r="V46" s="15">
        <v>100.0</v>
      </c>
      <c r="W46" s="15">
        <v>1.0</v>
      </c>
      <c r="X46" s="15"/>
      <c r="Y46" s="15">
        <v>100.0</v>
      </c>
      <c r="Z46" s="15">
        <v>100.0</v>
      </c>
      <c r="AA46" s="15">
        <v>5.7</v>
      </c>
      <c r="AB46" s="15">
        <f t="shared" si="2"/>
        <v>10</v>
      </c>
      <c r="AC46" s="15">
        <f t="shared" si="3"/>
        <v>2.85</v>
      </c>
      <c r="AD46" s="15">
        <f t="shared" si="4"/>
        <v>0.8</v>
      </c>
      <c r="AE46" s="15">
        <f t="shared" si="5"/>
        <v>5.08</v>
      </c>
    </row>
    <row r="47" ht="24.0" customHeight="1">
      <c r="A47" s="15" t="s">
        <v>168</v>
      </c>
      <c r="B47" s="15" t="s">
        <v>169</v>
      </c>
      <c r="C47" s="15" t="s">
        <v>170</v>
      </c>
      <c r="D47" s="16">
        <f>iferror(sumif(E47:AA47,"&lt;&gt;")/sumif(E47:AA47,"&lt;&gt;",E3:AA3),"")</f>
        <v>0.9497888068</v>
      </c>
      <c r="E47" s="15"/>
      <c r="F47" s="15">
        <v>9.7</v>
      </c>
      <c r="G47" s="15">
        <v>1.0</v>
      </c>
      <c r="H47" s="15">
        <v>1.0</v>
      </c>
      <c r="I47" s="15">
        <v>90.0</v>
      </c>
      <c r="J47" s="15">
        <v>95.0</v>
      </c>
      <c r="K47" s="15">
        <v>1.0</v>
      </c>
      <c r="L47" s="15">
        <v>100.0</v>
      </c>
      <c r="M47" s="15">
        <v>1.0</v>
      </c>
      <c r="N47" s="15">
        <v>1.0</v>
      </c>
      <c r="O47" s="15">
        <v>98.0</v>
      </c>
      <c r="P47" s="15">
        <v>100.0</v>
      </c>
      <c r="Q47" s="15"/>
      <c r="R47" s="15">
        <v>9.5</v>
      </c>
      <c r="S47" s="15">
        <v>1.0</v>
      </c>
      <c r="T47" s="15">
        <v>1.0</v>
      </c>
      <c r="U47" s="15">
        <v>100.0</v>
      </c>
      <c r="V47" s="15">
        <v>100.0</v>
      </c>
      <c r="W47" s="15"/>
      <c r="X47" s="15">
        <v>9.0</v>
      </c>
      <c r="Y47" s="15">
        <v>80.0</v>
      </c>
      <c r="Z47" s="15">
        <v>93.75</v>
      </c>
      <c r="AA47" s="15">
        <v>7.5</v>
      </c>
      <c r="AB47" s="15">
        <f t="shared" si="2"/>
        <v>9.34375</v>
      </c>
      <c r="AC47" s="15">
        <f t="shared" si="3"/>
        <v>8.25</v>
      </c>
      <c r="AD47" s="15">
        <f t="shared" si="4"/>
        <v>0.4</v>
      </c>
      <c r="AE47" s="15">
        <f t="shared" si="5"/>
        <v>8.86875</v>
      </c>
    </row>
    <row r="48" ht="24.0" customHeight="1">
      <c r="A48" s="15" t="s">
        <v>66</v>
      </c>
      <c r="B48" s="15" t="s">
        <v>171</v>
      </c>
      <c r="C48" s="15" t="s">
        <v>172</v>
      </c>
      <c r="D48" s="16">
        <f>iferror(sumif(E48:AA48,"&lt;&gt;")/sumif(E48:AA48,"&lt;&gt;",E3:AA3),"")</f>
        <v>0.6972266244</v>
      </c>
      <c r="E48" s="15"/>
      <c r="F48" s="15">
        <v>0.0</v>
      </c>
      <c r="G48" s="15"/>
      <c r="H48" s="15"/>
      <c r="I48" s="15"/>
      <c r="J48" s="15"/>
      <c r="K48" s="15"/>
      <c r="L48" s="15"/>
      <c r="M48" s="15"/>
      <c r="N48" s="15"/>
      <c r="O48" s="15">
        <v>50.0</v>
      </c>
      <c r="P48" s="15">
        <v>55.95</v>
      </c>
      <c r="Q48" s="15"/>
      <c r="R48" s="15">
        <v>0.5</v>
      </c>
      <c r="S48" s="15">
        <v>1.0</v>
      </c>
      <c r="T48" s="15"/>
      <c r="U48" s="15">
        <v>75.0</v>
      </c>
      <c r="V48" s="15">
        <v>100.0</v>
      </c>
      <c r="W48" s="15"/>
      <c r="X48" s="15">
        <v>0.5</v>
      </c>
      <c r="Y48" s="15">
        <v>69.5</v>
      </c>
      <c r="Z48" s="15">
        <v>87.5</v>
      </c>
      <c r="AA48" s="15"/>
      <c r="AB48" s="15">
        <f t="shared" si="2"/>
        <v>8.3</v>
      </c>
      <c r="AC48" s="15">
        <f t="shared" si="3"/>
        <v>0.25</v>
      </c>
      <c r="AD48" s="15">
        <f t="shared" si="4"/>
        <v>0.2</v>
      </c>
      <c r="AE48" s="15">
        <f t="shared" si="5"/>
        <v>2.06</v>
      </c>
    </row>
    <row r="49" ht="24.0" customHeight="1">
      <c r="A49" s="15" t="s">
        <v>173</v>
      </c>
      <c r="B49" s="15" t="s">
        <v>174</v>
      </c>
      <c r="C49" s="15" t="s">
        <v>175</v>
      </c>
      <c r="D49" s="16">
        <f>iferror(sumif(E49:AA49,"&lt;&gt;")/sumif(E49:AA49,"&lt;&gt;",E3:AA3),"")</f>
        <v>0.920063358</v>
      </c>
      <c r="E49" s="15">
        <v>1.0</v>
      </c>
      <c r="F49" s="15">
        <v>6.8</v>
      </c>
      <c r="G49" s="15">
        <v>1.0</v>
      </c>
      <c r="H49" s="15">
        <v>1.0</v>
      </c>
      <c r="I49" s="15">
        <v>96.0</v>
      </c>
      <c r="J49" s="15">
        <v>85.0</v>
      </c>
      <c r="K49" s="15">
        <v>1.0</v>
      </c>
      <c r="L49" s="15">
        <v>90.0</v>
      </c>
      <c r="M49" s="15">
        <v>1.0</v>
      </c>
      <c r="N49" s="15"/>
      <c r="O49" s="15">
        <v>100.0</v>
      </c>
      <c r="P49" s="15">
        <v>98.0</v>
      </c>
      <c r="Q49" s="15"/>
      <c r="R49" s="15">
        <v>7.0</v>
      </c>
      <c r="S49" s="15">
        <v>1.0</v>
      </c>
      <c r="T49" s="15">
        <v>1.0</v>
      </c>
      <c r="U49" s="15">
        <v>100.0</v>
      </c>
      <c r="V49" s="15">
        <v>100.0</v>
      </c>
      <c r="W49" s="15"/>
      <c r="X49" s="15">
        <v>9.2</v>
      </c>
      <c r="Y49" s="15">
        <v>69.0</v>
      </c>
      <c r="Z49" s="15">
        <v>100.0</v>
      </c>
      <c r="AA49" s="15">
        <v>3.3</v>
      </c>
      <c r="AB49" s="15">
        <f t="shared" si="2"/>
        <v>9.225</v>
      </c>
      <c r="AC49" s="15">
        <f t="shared" si="3"/>
        <v>6.25</v>
      </c>
      <c r="AD49" s="15">
        <f t="shared" si="4"/>
        <v>0.6</v>
      </c>
      <c r="AE49" s="15">
        <f t="shared" si="5"/>
        <v>7.445</v>
      </c>
    </row>
    <row r="50" ht="24.0" customHeight="1">
      <c r="A50" s="15" t="s">
        <v>176</v>
      </c>
      <c r="B50" s="15" t="s">
        <v>177</v>
      </c>
      <c r="C50" s="15" t="s">
        <v>178</v>
      </c>
      <c r="D50" s="16">
        <f>iferror(sumif(E50:AA50,"&lt;&gt;")/sumif(E50:AA50,"&lt;&gt;",E3:AA3),"")</f>
        <v>0.9022775424</v>
      </c>
      <c r="E50" s="15"/>
      <c r="F50" s="15">
        <v>7.5</v>
      </c>
      <c r="G50" s="15">
        <v>1.0</v>
      </c>
      <c r="H50" s="15"/>
      <c r="I50" s="15">
        <v>98.0</v>
      </c>
      <c r="J50" s="15">
        <v>80.0</v>
      </c>
      <c r="K50" s="15"/>
      <c r="L50" s="15">
        <v>75.0</v>
      </c>
      <c r="M50" s="15"/>
      <c r="N50" s="15">
        <v>1.0</v>
      </c>
      <c r="O50" s="15">
        <v>95.0</v>
      </c>
      <c r="P50" s="15">
        <v>100.0</v>
      </c>
      <c r="Q50" s="15"/>
      <c r="R50" s="15">
        <v>3.4</v>
      </c>
      <c r="S50" s="15">
        <v>1.0</v>
      </c>
      <c r="T50" s="15">
        <v>1.0</v>
      </c>
      <c r="U50" s="15">
        <v>90.0</v>
      </c>
      <c r="V50" s="15">
        <v>94.0</v>
      </c>
      <c r="W50" s="15"/>
      <c r="X50" s="15">
        <v>7.6</v>
      </c>
      <c r="Y50" s="15">
        <v>91.75</v>
      </c>
      <c r="Z50" s="15">
        <v>100.0</v>
      </c>
      <c r="AA50" s="15">
        <v>5.5</v>
      </c>
      <c r="AB50" s="15">
        <f t="shared" si="2"/>
        <v>9.39375</v>
      </c>
      <c r="AC50" s="15">
        <f t="shared" si="3"/>
        <v>6.55</v>
      </c>
      <c r="AD50" s="15">
        <f t="shared" si="4"/>
        <v>0.4</v>
      </c>
      <c r="AE50" s="15">
        <f t="shared" si="5"/>
        <v>7.51875</v>
      </c>
    </row>
    <row r="51" ht="24.0" customHeight="1">
      <c r="A51" s="15" t="s">
        <v>179</v>
      </c>
      <c r="B51" s="15" t="s">
        <v>180</v>
      </c>
      <c r="C51" s="15" t="s">
        <v>181</v>
      </c>
      <c r="D51" s="16" t="str">
        <f>iferror(sumif(E51:AA51,"&lt;&gt;")/sumif(E51:AA51,"&lt;&gt;",E3:AA3),"")</f>
        <v/>
      </c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>
        <f t="shared" si="2"/>
        <v>0</v>
      </c>
      <c r="AC51" s="15">
        <f t="shared" si="3"/>
        <v>0</v>
      </c>
      <c r="AD51" s="15">
        <f t="shared" si="4"/>
        <v>0</v>
      </c>
      <c r="AE51" s="15">
        <f t="shared" si="5"/>
        <v>0</v>
      </c>
    </row>
    <row r="52" ht="24.0" customHeight="1">
      <c r="A52" s="15" t="s">
        <v>156</v>
      </c>
      <c r="B52" s="15" t="s">
        <v>180</v>
      </c>
      <c r="C52" s="15" t="s">
        <v>182</v>
      </c>
      <c r="D52" s="16" t="str">
        <f>iferror(sumif(E52:AA52,"&lt;&gt;")/sumif(E52:AA52,"&lt;&gt;",E3:AA3),"")</f>
        <v/>
      </c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>
        <f t="shared" si="2"/>
        <v>0</v>
      </c>
      <c r="AC52" s="15">
        <f t="shared" si="3"/>
        <v>0</v>
      </c>
      <c r="AD52" s="15">
        <f t="shared" si="4"/>
        <v>0</v>
      </c>
      <c r="AE52" s="15">
        <f t="shared" si="5"/>
        <v>0</v>
      </c>
    </row>
    <row r="53" ht="24.0" customHeight="1">
      <c r="A53" s="15" t="s">
        <v>156</v>
      </c>
      <c r="B53" s="15" t="s">
        <v>183</v>
      </c>
      <c r="C53" s="15" t="s">
        <v>184</v>
      </c>
      <c r="D53" s="16">
        <f>iferror(sumif(E53:AA53,"&lt;&gt;")/sumif(E53:AA53,"&lt;&gt;",E3:AA3),"")</f>
        <v>0.9401475237</v>
      </c>
      <c r="E53" s="15"/>
      <c r="F53" s="15">
        <v>4.9</v>
      </c>
      <c r="G53" s="15">
        <v>1.0</v>
      </c>
      <c r="H53" s="15">
        <v>1.0</v>
      </c>
      <c r="I53" s="15">
        <v>98.0</v>
      </c>
      <c r="J53" s="15">
        <v>80.0</v>
      </c>
      <c r="K53" s="15">
        <v>1.0</v>
      </c>
      <c r="L53" s="15">
        <v>98.9</v>
      </c>
      <c r="M53" s="15">
        <v>1.0</v>
      </c>
      <c r="N53" s="15">
        <v>1.0</v>
      </c>
      <c r="O53" s="15">
        <v>100.0</v>
      </c>
      <c r="P53" s="15">
        <v>92.85</v>
      </c>
      <c r="Q53" s="15">
        <v>1.0</v>
      </c>
      <c r="R53" s="15">
        <v>1.5</v>
      </c>
      <c r="S53" s="15">
        <v>1.0</v>
      </c>
      <c r="T53" s="15">
        <v>1.0</v>
      </c>
      <c r="U53" s="15">
        <v>100.0</v>
      </c>
      <c r="V53" s="15">
        <v>100.0</v>
      </c>
      <c r="W53" s="15">
        <v>1.0</v>
      </c>
      <c r="X53" s="15">
        <v>8.3</v>
      </c>
      <c r="Y53" s="15">
        <v>100.0</v>
      </c>
      <c r="Z53" s="15">
        <v>93.75</v>
      </c>
      <c r="AA53" s="15">
        <v>5.0</v>
      </c>
      <c r="AB53" s="15">
        <f t="shared" si="2"/>
        <v>9.84375</v>
      </c>
      <c r="AC53" s="15">
        <f t="shared" si="3"/>
        <v>6.65</v>
      </c>
      <c r="AD53" s="15">
        <f t="shared" si="4"/>
        <v>0.8</v>
      </c>
      <c r="AE53" s="15">
        <f t="shared" si="5"/>
        <v>8.08875</v>
      </c>
    </row>
    <row r="54" ht="24.0" customHeight="1"/>
    <row r="55" ht="24.0" customHeight="1"/>
    <row r="56" ht="24.0" customHeight="1"/>
    <row r="57" ht="24.0" customHeight="1"/>
    <row r="58" ht="24.0" customHeight="1"/>
    <row r="59" ht="24.0" customHeight="1"/>
    <row r="60" ht="24.0" customHeight="1"/>
    <row r="61" ht="24.0" customHeight="1"/>
    <row r="62" ht="24.0" customHeight="1"/>
    <row r="63" ht="24.0" customHeight="1"/>
    <row r="64" ht="24.0" customHeight="1"/>
    <row r="65" ht="24.0" customHeight="1"/>
    <row r="66" ht="24.0" customHeight="1"/>
    <row r="67" ht="24.0" customHeight="1"/>
    <row r="68" ht="24.0" customHeight="1"/>
    <row r="69" ht="24.0" customHeight="1"/>
    <row r="70" ht="24.0" customHeight="1"/>
    <row r="71" ht="24.0" customHeight="1"/>
    <row r="72" ht="24.0" customHeight="1"/>
    <row r="73" ht="24.0" customHeight="1"/>
    <row r="74" ht="24.0" customHeight="1"/>
    <row r="75" ht="24.0" customHeight="1"/>
    <row r="76" ht="24.0" customHeight="1"/>
    <row r="77" ht="24.0" customHeight="1"/>
    <row r="78" ht="24.0" customHeight="1"/>
    <row r="79" ht="24.0" customHeight="1"/>
    <row r="80" ht="24.0" customHeight="1"/>
    <row r="81" ht="24.0" customHeight="1"/>
    <row r="82" ht="24.0" customHeight="1"/>
    <row r="83" ht="24.0" customHeight="1"/>
    <row r="84" ht="24.0" customHeight="1"/>
    <row r="85" ht="24.0" customHeight="1"/>
    <row r="86" ht="24.0" customHeight="1"/>
    <row r="87" ht="24.0" customHeight="1"/>
    <row r="88" ht="24.0" customHeight="1"/>
    <row r="89" ht="24.0" customHeight="1"/>
    <row r="90" ht="24.0" customHeight="1"/>
    <row r="91" ht="24.0" customHeight="1"/>
    <row r="92" ht="24.0" customHeight="1"/>
    <row r="93" ht="24.0" customHeight="1"/>
    <row r="94" ht="24.0" customHeight="1"/>
    <row r="95" ht="24.0" customHeight="1"/>
    <row r="96" ht="24.0" customHeight="1"/>
    <row r="97" ht="24.0" customHeight="1"/>
    <row r="98" ht="24.0" customHeight="1"/>
    <row r="99" ht="24.0" customHeight="1"/>
    <row r="100" ht="24.0" customHeight="1"/>
    <row r="101" ht="24.0" customHeight="1"/>
    <row r="102" ht="24.0" customHeight="1"/>
    <row r="103" ht="24.0" customHeight="1"/>
    <row r="104" ht="24.0" customHeight="1"/>
    <row r="105" ht="24.0" customHeight="1"/>
    <row r="106" ht="24.0" customHeight="1"/>
    <row r="107" ht="24.0" customHeight="1"/>
    <row r="108" ht="24.0" customHeight="1"/>
    <row r="109" ht="24.0" customHeight="1"/>
    <row r="110" ht="24.0" customHeight="1"/>
    <row r="111" ht="24.0" customHeight="1"/>
    <row r="112" ht="24.0" customHeight="1"/>
    <row r="113" ht="24.0" customHeight="1"/>
    <row r="114" ht="24.0" customHeight="1"/>
    <row r="115" ht="24.0" customHeight="1"/>
    <row r="116" ht="24.0" customHeight="1"/>
    <row r="117" ht="24.0" customHeight="1"/>
    <row r="118" ht="24.0" customHeight="1"/>
    <row r="119" ht="24.0" customHeight="1"/>
    <row r="120" ht="24.0" customHeight="1"/>
    <row r="121" ht="24.0" customHeight="1"/>
    <row r="122" ht="24.0" customHeight="1"/>
    <row r="123" ht="24.0" customHeight="1"/>
    <row r="124" ht="24.0" customHeight="1"/>
    <row r="125" ht="24.0" customHeight="1"/>
    <row r="126" ht="24.0" customHeight="1"/>
    <row r="127" ht="24.0" customHeight="1"/>
    <row r="128" ht="24.0" customHeight="1"/>
    <row r="129" ht="24.0" customHeight="1"/>
    <row r="130" ht="24.0" customHeight="1"/>
    <row r="131" ht="24.0" customHeight="1"/>
    <row r="132" ht="24.0" customHeight="1"/>
    <row r="133" ht="24.0" customHeight="1"/>
    <row r="134" ht="24.0" customHeight="1"/>
    <row r="135" ht="24.0" customHeight="1"/>
    <row r="136" ht="24.0" customHeight="1"/>
    <row r="137" ht="24.0" customHeight="1"/>
    <row r="138" ht="24.0" customHeight="1"/>
    <row r="139" ht="24.0" customHeight="1"/>
    <row r="140" ht="24.0" customHeight="1"/>
    <row r="141" ht="24.0" customHeight="1"/>
    <row r="142" ht="24.0" customHeight="1"/>
    <row r="143" ht="24.0" customHeight="1"/>
    <row r="144" ht="24.0" customHeight="1"/>
    <row r="145" ht="24.0" customHeight="1"/>
    <row r="146" ht="24.0" customHeight="1"/>
    <row r="147" ht="24.0" customHeight="1"/>
    <row r="148" ht="24.0" customHeight="1"/>
    <row r="149" ht="24.0" customHeight="1"/>
    <row r="150" ht="24.0" customHeight="1"/>
    <row r="151" ht="24.0" customHeight="1"/>
    <row r="152" ht="24.0" customHeight="1"/>
    <row r="153" ht="24.0" customHeight="1"/>
    <row r="154" ht="24.0" customHeight="1"/>
    <row r="155" ht="24.0" customHeight="1"/>
    <row r="156" ht="24.0" customHeight="1"/>
    <row r="157" ht="24.0" customHeight="1"/>
    <row r="158" ht="24.0" customHeight="1"/>
    <row r="159" ht="24.0" customHeight="1"/>
    <row r="160" ht="24.0" customHeight="1"/>
    <row r="161" ht="24.0" customHeight="1"/>
    <row r="162" ht="24.0" customHeight="1"/>
    <row r="163" ht="24.0" customHeight="1"/>
    <row r="164" ht="24.0" customHeight="1"/>
    <row r="165" ht="24.0" customHeight="1"/>
    <row r="166" ht="24.0" customHeight="1"/>
    <row r="167" ht="24.0" customHeight="1"/>
    <row r="168" ht="24.0" customHeight="1"/>
    <row r="169" ht="24.0" customHeight="1"/>
    <row r="170" ht="24.0" customHeight="1"/>
    <row r="171" ht="24.0" customHeight="1"/>
    <row r="172" ht="24.0" customHeight="1"/>
    <row r="173" ht="24.0" customHeight="1"/>
    <row r="174" ht="24.0" customHeight="1"/>
    <row r="175" ht="24.0" customHeight="1"/>
    <row r="176" ht="24.0" customHeight="1"/>
    <row r="177" ht="24.0" customHeight="1"/>
    <row r="178" ht="24.0" customHeight="1"/>
    <row r="179" ht="24.0" customHeight="1"/>
    <row r="180" ht="24.0" customHeight="1"/>
    <row r="181" ht="24.0" customHeight="1"/>
    <row r="182" ht="24.0" customHeight="1"/>
    <row r="183" ht="24.0" customHeight="1"/>
    <row r="184" ht="24.0" customHeight="1"/>
    <row r="185" ht="24.0" customHeight="1"/>
    <row r="186" ht="24.0" customHeight="1"/>
    <row r="187" ht="24.0" customHeight="1"/>
    <row r="188" ht="24.0" customHeight="1"/>
    <row r="189" ht="24.0" customHeight="1"/>
    <row r="190" ht="24.0" customHeight="1"/>
    <row r="191" ht="24.0" customHeight="1"/>
    <row r="192" ht="24.0" customHeight="1"/>
    <row r="193" ht="24.0" customHeight="1"/>
    <row r="194" ht="24.0" customHeight="1"/>
    <row r="195" ht="24.0" customHeight="1"/>
    <row r="196" ht="24.0" customHeight="1"/>
    <row r="197" ht="24.0" customHeight="1"/>
    <row r="198" ht="24.0" customHeight="1"/>
    <row r="199" ht="24.0" customHeight="1"/>
    <row r="200" ht="24.0" customHeight="1"/>
    <row r="201" ht="24.0" customHeight="1"/>
    <row r="202" ht="24.0" customHeight="1"/>
    <row r="203" ht="24.0" customHeight="1"/>
    <row r="204" ht="24.0" customHeight="1"/>
    <row r="205" ht="24.0" customHeight="1"/>
    <row r="206" ht="24.0" customHeight="1"/>
    <row r="207" ht="24.0" customHeight="1"/>
    <row r="208" ht="24.0" customHeight="1"/>
    <row r="209" ht="24.0" customHeight="1"/>
    <row r="210" ht="24.0" customHeight="1"/>
    <row r="211" ht="24.0" customHeight="1"/>
    <row r="212" ht="24.0" customHeight="1"/>
    <row r="213" ht="24.0" customHeight="1"/>
    <row r="214" ht="24.0" customHeight="1"/>
    <row r="215" ht="24.0" customHeight="1"/>
    <row r="216" ht="24.0" customHeight="1"/>
    <row r="217" ht="24.0" customHeight="1"/>
    <row r="218" ht="24.0" customHeight="1"/>
    <row r="219" ht="24.0" customHeight="1"/>
    <row r="220" ht="24.0" customHeight="1"/>
    <row r="221" ht="24.0" customHeight="1"/>
    <row r="222" ht="24.0" customHeight="1"/>
    <row r="223" ht="24.0" customHeight="1"/>
    <row r="224" ht="24.0" customHeight="1"/>
    <row r="225" ht="24.0" customHeight="1"/>
    <row r="226" ht="24.0" customHeight="1"/>
    <row r="227" ht="24.0" customHeight="1"/>
    <row r="228" ht="24.0" customHeight="1"/>
    <row r="229" ht="24.0" customHeight="1"/>
    <row r="230" ht="24.0" customHeight="1"/>
    <row r="231" ht="24.0" customHeight="1"/>
    <row r="232" ht="24.0" customHeight="1"/>
    <row r="233" ht="24.0" customHeight="1"/>
    <row r="234" ht="24.0" customHeight="1"/>
    <row r="235" ht="24.0" customHeight="1"/>
    <row r="236" ht="24.0" customHeight="1"/>
    <row r="237" ht="24.0" customHeight="1"/>
    <row r="238" ht="24.0" customHeight="1"/>
    <row r="239" ht="24.0" customHeight="1"/>
    <row r="240" ht="24.0" customHeight="1"/>
    <row r="241" ht="24.0" customHeight="1"/>
    <row r="242" ht="24.0" customHeight="1"/>
    <row r="243" ht="24.0" customHeight="1"/>
    <row r="244" ht="24.0" customHeight="1"/>
    <row r="245" ht="24.0" customHeight="1"/>
    <row r="246" ht="24.0" customHeight="1"/>
    <row r="247" ht="24.0" customHeight="1"/>
    <row r="248" ht="24.0" customHeight="1"/>
    <row r="249" ht="24.0" customHeight="1"/>
    <row r="250" ht="24.0" customHeight="1"/>
    <row r="251" ht="24.0" customHeight="1"/>
    <row r="252" ht="24.0" customHeight="1"/>
    <row r="253" ht="24.0" customHeight="1"/>
    <row r="254" ht="24.0" customHeight="1"/>
    <row r="255" ht="24.0" customHeight="1"/>
    <row r="256" ht="24.0" customHeight="1"/>
    <row r="257" ht="24.0" customHeight="1"/>
    <row r="258" ht="24.0" customHeight="1"/>
    <row r="259" ht="24.0" customHeight="1"/>
    <row r="260" ht="24.0" customHeight="1"/>
    <row r="261" ht="24.0" customHeight="1"/>
    <row r="262" ht="24.0" customHeight="1"/>
    <row r="263" ht="24.0" customHeight="1"/>
    <row r="264" ht="24.0" customHeight="1"/>
    <row r="265" ht="24.0" customHeight="1"/>
    <row r="266" ht="24.0" customHeight="1"/>
    <row r="267" ht="24.0" customHeight="1"/>
    <row r="268" ht="24.0" customHeight="1"/>
    <row r="269" ht="24.0" customHeight="1"/>
    <row r="270" ht="24.0" customHeight="1"/>
    <row r="271" ht="24.0" customHeight="1"/>
    <row r="272" ht="24.0" customHeight="1"/>
    <row r="273" ht="24.0" customHeight="1"/>
    <row r="274" ht="24.0" customHeight="1"/>
    <row r="275" ht="24.0" customHeight="1"/>
    <row r="276" ht="24.0" customHeight="1"/>
    <row r="277" ht="24.0" customHeight="1"/>
    <row r="278" ht="24.0" customHeight="1"/>
    <row r="279" ht="24.0" customHeight="1"/>
    <row r="280" ht="24.0" customHeight="1"/>
    <row r="281" ht="24.0" customHeight="1"/>
    <row r="282" ht="24.0" customHeight="1"/>
    <row r="283" ht="24.0" customHeight="1"/>
    <row r="284" ht="24.0" customHeight="1"/>
    <row r="285" ht="24.0" customHeight="1"/>
    <row r="286" ht="24.0" customHeight="1"/>
    <row r="287" ht="24.0" customHeight="1"/>
    <row r="288" ht="24.0" customHeight="1"/>
    <row r="289" ht="24.0" customHeight="1"/>
    <row r="290" ht="24.0" customHeight="1"/>
    <row r="291" ht="24.0" customHeight="1"/>
    <row r="292" ht="24.0" customHeight="1"/>
    <row r="293" ht="24.0" customHeight="1"/>
    <row r="294" ht="24.0" customHeight="1"/>
    <row r="295" ht="24.0" customHeight="1"/>
    <row r="296" ht="24.0" customHeight="1"/>
    <row r="297" ht="24.0" customHeight="1"/>
    <row r="298" ht="24.0" customHeight="1"/>
    <row r="299" ht="24.0" customHeight="1"/>
    <row r="300" ht="24.0" customHeight="1"/>
    <row r="301" ht="24.0" customHeight="1"/>
    <row r="302" ht="24.0" customHeight="1"/>
    <row r="303" ht="24.0" customHeight="1"/>
    <row r="304" ht="24.0" customHeight="1"/>
    <row r="305" ht="24.0" customHeight="1"/>
    <row r="306" ht="24.0" customHeight="1"/>
    <row r="307" ht="24.0" customHeight="1"/>
    <row r="308" ht="24.0" customHeight="1"/>
    <row r="309" ht="24.0" customHeight="1"/>
    <row r="310" ht="24.0" customHeight="1"/>
    <row r="311" ht="24.0" customHeight="1"/>
    <row r="312" ht="24.0" customHeight="1"/>
    <row r="313" ht="24.0" customHeight="1"/>
    <row r="314" ht="24.0" customHeight="1"/>
    <row r="315" ht="24.0" customHeight="1"/>
    <row r="316" ht="24.0" customHeight="1"/>
    <row r="317" ht="24.0" customHeight="1"/>
    <row r="318" ht="24.0" customHeight="1"/>
    <row r="319" ht="24.0" customHeight="1"/>
    <row r="320" ht="24.0" customHeight="1"/>
    <row r="321" ht="24.0" customHeight="1"/>
    <row r="322" ht="24.0" customHeight="1"/>
    <row r="323" ht="24.0" customHeight="1"/>
    <row r="324" ht="24.0" customHeight="1"/>
    <row r="325" ht="24.0" customHeight="1"/>
    <row r="326" ht="24.0" customHeight="1"/>
    <row r="327" ht="24.0" customHeight="1"/>
    <row r="328" ht="24.0" customHeight="1"/>
    <row r="329" ht="24.0" customHeight="1"/>
    <row r="330" ht="24.0" customHeight="1"/>
    <row r="331" ht="24.0" customHeight="1"/>
    <row r="332" ht="24.0" customHeight="1"/>
    <row r="333" ht="24.0" customHeight="1"/>
    <row r="334" ht="24.0" customHeight="1"/>
    <row r="335" ht="24.0" customHeight="1"/>
    <row r="336" ht="24.0" customHeight="1"/>
    <row r="337" ht="24.0" customHeight="1"/>
    <row r="338" ht="24.0" customHeight="1"/>
    <row r="339" ht="24.0" customHeight="1"/>
    <row r="340" ht="24.0" customHeight="1"/>
    <row r="341" ht="24.0" customHeight="1"/>
    <row r="342" ht="24.0" customHeight="1"/>
    <row r="343" ht="24.0" customHeight="1"/>
    <row r="344" ht="24.0" customHeight="1"/>
    <row r="345" ht="24.0" customHeight="1"/>
    <row r="346" ht="24.0" customHeight="1"/>
    <row r="347" ht="24.0" customHeight="1"/>
    <row r="348" ht="24.0" customHeight="1"/>
    <row r="349" ht="24.0" customHeight="1"/>
    <row r="350" ht="24.0" customHeight="1"/>
    <row r="351" ht="24.0" customHeight="1"/>
    <row r="352" ht="24.0" customHeight="1"/>
    <row r="353" ht="24.0" customHeight="1"/>
    <row r="354" ht="24.0" customHeight="1"/>
    <row r="355" ht="24.0" customHeight="1"/>
    <row r="356" ht="24.0" customHeight="1"/>
    <row r="357" ht="24.0" customHeight="1"/>
    <row r="358" ht="24.0" customHeight="1"/>
    <row r="359" ht="24.0" customHeight="1"/>
    <row r="360" ht="24.0" customHeight="1"/>
    <row r="361" ht="24.0" customHeight="1"/>
    <row r="362" ht="24.0" customHeight="1"/>
    <row r="363" ht="24.0" customHeight="1"/>
    <row r="364" ht="24.0" customHeight="1"/>
    <row r="365" ht="24.0" customHeight="1"/>
    <row r="366" ht="24.0" customHeight="1"/>
    <row r="367" ht="24.0" customHeight="1"/>
    <row r="368" ht="24.0" customHeight="1"/>
    <row r="369" ht="24.0" customHeight="1"/>
    <row r="370" ht="24.0" customHeight="1"/>
    <row r="371" ht="24.0" customHeight="1"/>
    <row r="372" ht="24.0" customHeight="1"/>
    <row r="373" ht="24.0" customHeight="1"/>
    <row r="374" ht="24.0" customHeight="1"/>
    <row r="375" ht="24.0" customHeight="1"/>
    <row r="376" ht="24.0" customHeight="1"/>
    <row r="377" ht="24.0" customHeight="1"/>
    <row r="378" ht="24.0" customHeight="1"/>
    <row r="379" ht="24.0" customHeight="1"/>
    <row r="380" ht="24.0" customHeight="1"/>
    <row r="381" ht="24.0" customHeight="1"/>
    <row r="382" ht="24.0" customHeight="1"/>
    <row r="383" ht="24.0" customHeight="1"/>
    <row r="384" ht="24.0" customHeight="1"/>
    <row r="385" ht="24.0" customHeight="1"/>
    <row r="386" ht="24.0" customHeight="1"/>
    <row r="387" ht="24.0" customHeight="1"/>
    <row r="388" ht="24.0" customHeight="1"/>
    <row r="389" ht="24.0" customHeight="1"/>
    <row r="390" ht="24.0" customHeight="1"/>
    <row r="391" ht="24.0" customHeight="1"/>
    <row r="392" ht="24.0" customHeight="1"/>
    <row r="393" ht="24.0" customHeight="1"/>
    <row r="394" ht="24.0" customHeight="1"/>
    <row r="395" ht="24.0" customHeight="1"/>
    <row r="396" ht="24.0" customHeight="1"/>
    <row r="397" ht="24.0" customHeight="1"/>
    <row r="398" ht="24.0" customHeight="1"/>
    <row r="399" ht="24.0" customHeight="1"/>
    <row r="400" ht="24.0" customHeight="1"/>
    <row r="401" ht="24.0" customHeight="1"/>
    <row r="402" ht="24.0" customHeight="1"/>
    <row r="403" ht="24.0" customHeight="1"/>
    <row r="404" ht="24.0" customHeight="1"/>
    <row r="405" ht="24.0" customHeight="1"/>
    <row r="406" ht="24.0" customHeight="1"/>
    <row r="407" ht="24.0" customHeight="1"/>
    <row r="408" ht="24.0" customHeight="1"/>
    <row r="409" ht="24.0" customHeight="1"/>
    <row r="410" ht="24.0" customHeight="1"/>
    <row r="411" ht="24.0" customHeight="1"/>
    <row r="412" ht="24.0" customHeight="1"/>
    <row r="413" ht="24.0" customHeight="1"/>
    <row r="414" ht="24.0" customHeight="1"/>
    <row r="415" ht="24.0" customHeight="1"/>
    <row r="416" ht="24.0" customHeight="1"/>
    <row r="417" ht="24.0" customHeight="1"/>
    <row r="418" ht="24.0" customHeight="1"/>
    <row r="419" ht="24.0" customHeight="1"/>
    <row r="420" ht="24.0" customHeight="1"/>
    <row r="421" ht="24.0" customHeight="1"/>
    <row r="422" ht="24.0" customHeight="1"/>
    <row r="423" ht="24.0" customHeight="1"/>
    <row r="424" ht="24.0" customHeight="1"/>
    <row r="425" ht="24.0" customHeight="1"/>
    <row r="426" ht="24.0" customHeight="1"/>
    <row r="427" ht="24.0" customHeight="1"/>
    <row r="428" ht="24.0" customHeight="1"/>
    <row r="429" ht="24.0" customHeight="1"/>
    <row r="430" ht="24.0" customHeight="1"/>
    <row r="431" ht="24.0" customHeight="1"/>
    <row r="432" ht="24.0" customHeight="1"/>
    <row r="433" ht="24.0" customHeight="1"/>
    <row r="434" ht="24.0" customHeight="1"/>
    <row r="435" ht="24.0" customHeight="1"/>
    <row r="436" ht="24.0" customHeight="1"/>
    <row r="437" ht="24.0" customHeight="1"/>
    <row r="438" ht="24.0" customHeight="1"/>
    <row r="439" ht="24.0" customHeight="1"/>
    <row r="440" ht="24.0" customHeight="1"/>
    <row r="441" ht="24.0" customHeight="1"/>
    <row r="442" ht="24.0" customHeight="1"/>
    <row r="443" ht="24.0" customHeight="1"/>
    <row r="444" ht="24.0" customHeight="1"/>
    <row r="445" ht="24.0" customHeight="1"/>
    <row r="446" ht="24.0" customHeight="1"/>
    <row r="447" ht="24.0" customHeight="1"/>
    <row r="448" ht="24.0" customHeight="1"/>
    <row r="449" ht="24.0" customHeight="1"/>
    <row r="450" ht="24.0" customHeight="1"/>
    <row r="451" ht="24.0" customHeight="1"/>
    <row r="452" ht="24.0" customHeight="1"/>
    <row r="453" ht="24.0" customHeight="1"/>
    <row r="454" ht="24.0" customHeight="1"/>
    <row r="455" ht="24.0" customHeight="1"/>
    <row r="456" ht="24.0" customHeight="1"/>
    <row r="457" ht="24.0" customHeight="1"/>
    <row r="458" ht="24.0" customHeight="1"/>
    <row r="459" ht="24.0" customHeight="1"/>
    <row r="460" ht="24.0" customHeight="1"/>
    <row r="461" ht="24.0" customHeight="1"/>
    <row r="462" ht="24.0" customHeight="1"/>
    <row r="463" ht="24.0" customHeight="1"/>
    <row r="464" ht="24.0" customHeight="1"/>
    <row r="465" ht="24.0" customHeight="1"/>
    <row r="466" ht="24.0" customHeight="1"/>
    <row r="467" ht="24.0" customHeight="1"/>
    <row r="468" ht="24.0" customHeight="1"/>
    <row r="469" ht="24.0" customHeight="1"/>
    <row r="470" ht="24.0" customHeight="1"/>
    <row r="471" ht="24.0" customHeight="1"/>
    <row r="472" ht="24.0" customHeight="1"/>
    <row r="473" ht="24.0" customHeight="1"/>
    <row r="474" ht="24.0" customHeight="1"/>
    <row r="475" ht="24.0" customHeight="1"/>
    <row r="476" ht="24.0" customHeight="1"/>
    <row r="477" ht="24.0" customHeight="1"/>
    <row r="478" ht="24.0" customHeight="1"/>
    <row r="479" ht="24.0" customHeight="1"/>
    <row r="480" ht="24.0" customHeight="1"/>
    <row r="481" ht="24.0" customHeight="1"/>
    <row r="482" ht="24.0" customHeight="1"/>
    <row r="483" ht="24.0" customHeight="1"/>
    <row r="484" ht="24.0" customHeight="1"/>
    <row r="485" ht="24.0" customHeight="1"/>
    <row r="486" ht="24.0" customHeight="1"/>
    <row r="487" ht="24.0" customHeight="1"/>
    <row r="488" ht="24.0" customHeight="1"/>
    <row r="489" ht="24.0" customHeight="1"/>
    <row r="490" ht="24.0" customHeight="1"/>
    <row r="491" ht="24.0" customHeight="1"/>
    <row r="492" ht="24.0" customHeight="1"/>
    <row r="493" ht="24.0" customHeight="1"/>
    <row r="494" ht="24.0" customHeight="1"/>
    <row r="495" ht="24.0" customHeight="1"/>
    <row r="496" ht="24.0" customHeight="1"/>
    <row r="497" ht="24.0" customHeight="1"/>
    <row r="498" ht="24.0" customHeight="1"/>
    <row r="499" ht="24.0" customHeight="1"/>
    <row r="500" ht="24.0" customHeight="1"/>
    <row r="501" ht="24.0" customHeight="1"/>
    <row r="502" ht="24.0" customHeight="1"/>
    <row r="503" ht="24.0" customHeight="1"/>
    <row r="504" ht="24.0" customHeight="1"/>
    <row r="505" ht="24.0" customHeight="1"/>
    <row r="506" ht="24.0" customHeight="1"/>
    <row r="507" ht="24.0" customHeight="1"/>
    <row r="508" ht="24.0" customHeight="1"/>
    <row r="509" ht="24.0" customHeight="1"/>
    <row r="510" ht="24.0" customHeight="1"/>
    <row r="511" ht="24.0" customHeight="1"/>
    <row r="512" ht="24.0" customHeight="1"/>
    <row r="513" ht="24.0" customHeight="1"/>
    <row r="514" ht="24.0" customHeight="1"/>
    <row r="515" ht="24.0" customHeight="1"/>
    <row r="516" ht="24.0" customHeight="1"/>
    <row r="517" ht="24.0" customHeight="1"/>
    <row r="518" ht="24.0" customHeight="1"/>
    <row r="519" ht="24.0" customHeight="1"/>
    <row r="520" ht="24.0" customHeight="1"/>
    <row r="521" ht="24.0" customHeight="1"/>
    <row r="522" ht="24.0" customHeight="1"/>
    <row r="523" ht="24.0" customHeight="1"/>
    <row r="524" ht="24.0" customHeight="1"/>
    <row r="525" ht="24.0" customHeight="1"/>
    <row r="526" ht="24.0" customHeight="1"/>
    <row r="527" ht="24.0" customHeight="1"/>
    <row r="528" ht="24.0" customHeight="1"/>
    <row r="529" ht="24.0" customHeight="1"/>
    <row r="530" ht="24.0" customHeight="1"/>
    <row r="531" ht="24.0" customHeight="1"/>
    <row r="532" ht="24.0" customHeight="1"/>
    <row r="533" ht="24.0" customHeight="1"/>
    <row r="534" ht="24.0" customHeight="1"/>
    <row r="535" ht="24.0" customHeight="1"/>
    <row r="536" ht="24.0" customHeight="1"/>
    <row r="537" ht="24.0" customHeight="1"/>
    <row r="538" ht="24.0" customHeight="1"/>
    <row r="539" ht="24.0" customHeight="1"/>
    <row r="540" ht="24.0" customHeight="1"/>
    <row r="541" ht="24.0" customHeight="1"/>
    <row r="542" ht="24.0" customHeight="1"/>
    <row r="543" ht="24.0" customHeight="1"/>
    <row r="544" ht="24.0" customHeight="1"/>
    <row r="545" ht="24.0" customHeight="1"/>
    <row r="546" ht="24.0" customHeight="1"/>
    <row r="547" ht="24.0" customHeight="1"/>
    <row r="548" ht="24.0" customHeight="1"/>
    <row r="549" ht="24.0" customHeight="1"/>
    <row r="550" ht="24.0" customHeight="1"/>
    <row r="551" ht="24.0" customHeight="1"/>
    <row r="552" ht="24.0" customHeight="1"/>
    <row r="553" ht="24.0" customHeight="1"/>
    <row r="554" ht="24.0" customHeight="1"/>
    <row r="555" ht="24.0" customHeight="1"/>
    <row r="556" ht="24.0" customHeight="1"/>
    <row r="557" ht="24.0" customHeight="1"/>
    <row r="558" ht="24.0" customHeight="1"/>
    <row r="559" ht="24.0" customHeight="1"/>
    <row r="560" ht="24.0" customHeight="1"/>
    <row r="561" ht="24.0" customHeight="1"/>
    <row r="562" ht="24.0" customHeight="1"/>
    <row r="563" ht="24.0" customHeight="1"/>
    <row r="564" ht="24.0" customHeight="1"/>
    <row r="565" ht="24.0" customHeight="1"/>
    <row r="566" ht="24.0" customHeight="1"/>
    <row r="567" ht="24.0" customHeight="1"/>
    <row r="568" ht="24.0" customHeight="1"/>
    <row r="569" ht="24.0" customHeight="1"/>
    <row r="570" ht="24.0" customHeight="1"/>
    <row r="571" ht="24.0" customHeight="1"/>
    <row r="572" ht="24.0" customHeight="1"/>
    <row r="573" ht="24.0" customHeight="1"/>
    <row r="574" ht="24.0" customHeight="1"/>
    <row r="575" ht="24.0" customHeight="1"/>
    <row r="576" ht="24.0" customHeight="1"/>
    <row r="577" ht="24.0" customHeight="1"/>
    <row r="578" ht="24.0" customHeight="1"/>
    <row r="579" ht="24.0" customHeight="1"/>
    <row r="580" ht="24.0" customHeight="1"/>
    <row r="581" ht="24.0" customHeight="1"/>
    <row r="582" ht="24.0" customHeight="1"/>
    <row r="583" ht="24.0" customHeight="1"/>
    <row r="584" ht="24.0" customHeight="1"/>
    <row r="585" ht="24.0" customHeight="1"/>
    <row r="586" ht="24.0" customHeight="1"/>
    <row r="587" ht="24.0" customHeight="1"/>
    <row r="588" ht="24.0" customHeight="1"/>
    <row r="589" ht="24.0" customHeight="1"/>
    <row r="590" ht="24.0" customHeight="1"/>
    <row r="591" ht="24.0" customHeight="1"/>
    <row r="592" ht="24.0" customHeight="1"/>
    <row r="593" ht="24.0" customHeight="1"/>
    <row r="594" ht="24.0" customHeight="1"/>
    <row r="595" ht="24.0" customHeight="1"/>
    <row r="596" ht="24.0" customHeight="1"/>
    <row r="597" ht="24.0" customHeight="1"/>
    <row r="598" ht="24.0" customHeight="1"/>
    <row r="599" ht="24.0" customHeight="1"/>
    <row r="600" ht="24.0" customHeight="1"/>
    <row r="601" ht="24.0" customHeight="1"/>
    <row r="602" ht="24.0" customHeight="1"/>
    <row r="603" ht="24.0" customHeight="1"/>
    <row r="604" ht="24.0" customHeight="1"/>
    <row r="605" ht="24.0" customHeight="1"/>
    <row r="606" ht="24.0" customHeight="1"/>
    <row r="607" ht="24.0" customHeight="1"/>
    <row r="608" ht="24.0" customHeight="1"/>
    <row r="609" ht="24.0" customHeight="1"/>
    <row r="610" ht="24.0" customHeight="1"/>
    <row r="611" ht="24.0" customHeight="1"/>
    <row r="612" ht="24.0" customHeight="1"/>
    <row r="613" ht="24.0" customHeight="1"/>
    <row r="614" ht="24.0" customHeight="1"/>
    <row r="615" ht="24.0" customHeight="1"/>
    <row r="616" ht="24.0" customHeight="1"/>
    <row r="617" ht="24.0" customHeight="1"/>
    <row r="618" ht="24.0" customHeight="1"/>
    <row r="619" ht="24.0" customHeight="1"/>
    <row r="620" ht="24.0" customHeight="1"/>
    <row r="621" ht="24.0" customHeight="1"/>
    <row r="622" ht="24.0" customHeight="1"/>
    <row r="623" ht="24.0" customHeight="1"/>
    <row r="624" ht="24.0" customHeight="1"/>
    <row r="625" ht="24.0" customHeight="1"/>
    <row r="626" ht="24.0" customHeight="1"/>
    <row r="627" ht="24.0" customHeight="1"/>
    <row r="628" ht="24.0" customHeight="1"/>
    <row r="629" ht="24.0" customHeight="1"/>
    <row r="630" ht="24.0" customHeight="1"/>
    <row r="631" ht="24.0" customHeight="1"/>
    <row r="632" ht="24.0" customHeight="1"/>
    <row r="633" ht="24.0" customHeight="1"/>
    <row r="634" ht="24.0" customHeight="1"/>
    <row r="635" ht="24.0" customHeight="1"/>
    <row r="636" ht="24.0" customHeight="1"/>
    <row r="637" ht="24.0" customHeight="1"/>
    <row r="638" ht="24.0" customHeight="1"/>
    <row r="639" ht="24.0" customHeight="1"/>
    <row r="640" ht="24.0" customHeight="1"/>
    <row r="641" ht="24.0" customHeight="1"/>
    <row r="642" ht="24.0" customHeight="1"/>
    <row r="643" ht="24.0" customHeight="1"/>
    <row r="644" ht="24.0" customHeight="1"/>
    <row r="645" ht="24.0" customHeight="1"/>
    <row r="646" ht="24.0" customHeight="1"/>
    <row r="647" ht="24.0" customHeight="1"/>
    <row r="648" ht="24.0" customHeight="1"/>
    <row r="649" ht="24.0" customHeight="1"/>
    <row r="650" ht="24.0" customHeight="1"/>
    <row r="651" ht="24.0" customHeight="1"/>
    <row r="652" ht="24.0" customHeight="1"/>
    <row r="653" ht="24.0" customHeight="1"/>
    <row r="654" ht="24.0" customHeight="1"/>
    <row r="655" ht="24.0" customHeight="1"/>
    <row r="656" ht="24.0" customHeight="1"/>
    <row r="657" ht="24.0" customHeight="1"/>
    <row r="658" ht="24.0" customHeight="1"/>
    <row r="659" ht="24.0" customHeight="1"/>
    <row r="660" ht="24.0" customHeight="1"/>
    <row r="661" ht="24.0" customHeight="1"/>
    <row r="662" ht="24.0" customHeight="1"/>
    <row r="663" ht="24.0" customHeight="1"/>
    <row r="664" ht="24.0" customHeight="1"/>
    <row r="665" ht="24.0" customHeight="1"/>
    <row r="666" ht="24.0" customHeight="1"/>
    <row r="667" ht="24.0" customHeight="1"/>
    <row r="668" ht="24.0" customHeight="1"/>
    <row r="669" ht="24.0" customHeight="1"/>
    <row r="670" ht="24.0" customHeight="1"/>
    <row r="671" ht="24.0" customHeight="1"/>
    <row r="672" ht="24.0" customHeight="1"/>
    <row r="673" ht="24.0" customHeight="1"/>
    <row r="674" ht="24.0" customHeight="1"/>
    <row r="675" ht="24.0" customHeight="1"/>
    <row r="676" ht="24.0" customHeight="1"/>
    <row r="677" ht="24.0" customHeight="1"/>
    <row r="678" ht="24.0" customHeight="1"/>
    <row r="679" ht="24.0" customHeight="1"/>
    <row r="680" ht="24.0" customHeight="1"/>
    <row r="681" ht="24.0" customHeight="1"/>
    <row r="682" ht="24.0" customHeight="1"/>
    <row r="683" ht="24.0" customHeight="1"/>
    <row r="684" ht="24.0" customHeight="1"/>
    <row r="685" ht="24.0" customHeight="1"/>
    <row r="686" ht="24.0" customHeight="1"/>
    <row r="687" ht="24.0" customHeight="1"/>
    <row r="688" ht="24.0" customHeight="1"/>
    <row r="689" ht="24.0" customHeight="1"/>
    <row r="690" ht="24.0" customHeight="1"/>
    <row r="691" ht="24.0" customHeight="1"/>
    <row r="692" ht="24.0" customHeight="1"/>
    <row r="693" ht="24.0" customHeight="1"/>
    <row r="694" ht="24.0" customHeight="1"/>
    <row r="695" ht="24.0" customHeight="1"/>
    <row r="696" ht="24.0" customHeight="1"/>
    <row r="697" ht="24.0" customHeight="1"/>
    <row r="698" ht="24.0" customHeight="1"/>
    <row r="699" ht="24.0" customHeight="1"/>
    <row r="700" ht="24.0" customHeight="1"/>
    <row r="701" ht="24.0" customHeight="1"/>
    <row r="702" ht="24.0" customHeight="1"/>
    <row r="703" ht="24.0" customHeight="1"/>
    <row r="704" ht="24.0" customHeight="1"/>
    <row r="705" ht="24.0" customHeight="1"/>
    <row r="706" ht="24.0" customHeight="1"/>
    <row r="707" ht="24.0" customHeight="1"/>
    <row r="708" ht="24.0" customHeight="1"/>
    <row r="709" ht="24.0" customHeight="1"/>
    <row r="710" ht="24.0" customHeight="1"/>
    <row r="711" ht="24.0" customHeight="1"/>
    <row r="712" ht="24.0" customHeight="1"/>
    <row r="713" ht="24.0" customHeight="1"/>
    <row r="714" ht="24.0" customHeight="1"/>
    <row r="715" ht="24.0" customHeight="1"/>
    <row r="716" ht="24.0" customHeight="1"/>
    <row r="717" ht="24.0" customHeight="1"/>
    <row r="718" ht="24.0" customHeight="1"/>
    <row r="719" ht="24.0" customHeight="1"/>
    <row r="720" ht="24.0" customHeight="1"/>
    <row r="721" ht="24.0" customHeight="1"/>
    <row r="722" ht="24.0" customHeight="1"/>
    <row r="723" ht="24.0" customHeight="1"/>
    <row r="724" ht="24.0" customHeight="1"/>
    <row r="725" ht="24.0" customHeight="1"/>
    <row r="726" ht="24.0" customHeight="1"/>
    <row r="727" ht="24.0" customHeight="1"/>
    <row r="728" ht="24.0" customHeight="1"/>
    <row r="729" ht="24.0" customHeight="1"/>
    <row r="730" ht="24.0" customHeight="1"/>
    <row r="731" ht="24.0" customHeight="1"/>
    <row r="732" ht="24.0" customHeight="1"/>
    <row r="733" ht="24.0" customHeight="1"/>
    <row r="734" ht="24.0" customHeight="1"/>
    <row r="735" ht="24.0" customHeight="1"/>
    <row r="736" ht="24.0" customHeight="1"/>
    <row r="737" ht="24.0" customHeight="1"/>
    <row r="738" ht="24.0" customHeight="1"/>
    <row r="739" ht="24.0" customHeight="1"/>
    <row r="740" ht="24.0" customHeight="1"/>
    <row r="741" ht="24.0" customHeight="1"/>
    <row r="742" ht="24.0" customHeight="1"/>
    <row r="743" ht="24.0" customHeight="1"/>
    <row r="744" ht="24.0" customHeight="1"/>
    <row r="745" ht="24.0" customHeight="1"/>
    <row r="746" ht="24.0" customHeight="1"/>
    <row r="747" ht="24.0" customHeight="1"/>
    <row r="748" ht="24.0" customHeight="1"/>
    <row r="749" ht="24.0" customHeight="1"/>
    <row r="750" ht="24.0" customHeight="1"/>
    <row r="751" ht="24.0" customHeight="1"/>
    <row r="752" ht="24.0" customHeight="1"/>
    <row r="753" ht="24.0" customHeight="1"/>
    <row r="754" ht="24.0" customHeight="1"/>
    <row r="755" ht="24.0" customHeight="1"/>
    <row r="756" ht="24.0" customHeight="1"/>
    <row r="757" ht="24.0" customHeight="1"/>
    <row r="758" ht="24.0" customHeight="1"/>
    <row r="759" ht="24.0" customHeight="1"/>
    <row r="760" ht="24.0" customHeight="1"/>
    <row r="761" ht="24.0" customHeight="1"/>
    <row r="762" ht="24.0" customHeight="1"/>
    <row r="763" ht="24.0" customHeight="1"/>
    <row r="764" ht="24.0" customHeight="1"/>
    <row r="765" ht="24.0" customHeight="1"/>
    <row r="766" ht="24.0" customHeight="1"/>
    <row r="767" ht="24.0" customHeight="1"/>
    <row r="768" ht="24.0" customHeight="1"/>
    <row r="769" ht="24.0" customHeight="1"/>
    <row r="770" ht="24.0" customHeight="1"/>
    <row r="771" ht="24.0" customHeight="1"/>
    <row r="772" ht="24.0" customHeight="1"/>
    <row r="773" ht="24.0" customHeight="1"/>
    <row r="774" ht="24.0" customHeight="1"/>
    <row r="775" ht="24.0" customHeight="1"/>
    <row r="776" ht="24.0" customHeight="1"/>
    <row r="777" ht="24.0" customHeight="1"/>
    <row r="778" ht="24.0" customHeight="1"/>
    <row r="779" ht="24.0" customHeight="1"/>
    <row r="780" ht="24.0" customHeight="1"/>
    <row r="781" ht="24.0" customHeight="1"/>
    <row r="782" ht="24.0" customHeight="1"/>
    <row r="783" ht="24.0" customHeight="1"/>
    <row r="784" ht="24.0" customHeight="1"/>
    <row r="785" ht="24.0" customHeight="1"/>
    <row r="786" ht="24.0" customHeight="1"/>
    <row r="787" ht="24.0" customHeight="1"/>
    <row r="788" ht="24.0" customHeight="1"/>
    <row r="789" ht="24.0" customHeight="1"/>
    <row r="790" ht="24.0" customHeight="1"/>
    <row r="791" ht="24.0" customHeight="1"/>
    <row r="792" ht="24.0" customHeight="1"/>
    <row r="793" ht="24.0" customHeight="1"/>
    <row r="794" ht="24.0" customHeight="1"/>
    <row r="795" ht="24.0" customHeight="1"/>
    <row r="796" ht="24.0" customHeight="1"/>
    <row r="797" ht="24.0" customHeight="1"/>
    <row r="798" ht="24.0" customHeight="1"/>
    <row r="799" ht="24.0" customHeight="1"/>
    <row r="800" ht="24.0" customHeight="1"/>
    <row r="801" ht="24.0" customHeight="1"/>
    <row r="802" ht="24.0" customHeight="1"/>
    <row r="803" ht="24.0" customHeight="1"/>
    <row r="804" ht="24.0" customHeight="1"/>
    <row r="805" ht="24.0" customHeight="1"/>
    <row r="806" ht="24.0" customHeight="1"/>
    <row r="807" ht="24.0" customHeight="1"/>
    <row r="808" ht="24.0" customHeight="1"/>
    <row r="809" ht="24.0" customHeight="1"/>
    <row r="810" ht="24.0" customHeight="1"/>
    <row r="811" ht="24.0" customHeight="1"/>
    <row r="812" ht="24.0" customHeight="1"/>
    <row r="813" ht="24.0" customHeight="1"/>
    <row r="814" ht="24.0" customHeight="1"/>
    <row r="815" ht="24.0" customHeight="1"/>
    <row r="816" ht="24.0" customHeight="1"/>
    <row r="817" ht="24.0" customHeight="1"/>
    <row r="818" ht="24.0" customHeight="1"/>
    <row r="819" ht="24.0" customHeight="1"/>
    <row r="820" ht="24.0" customHeight="1"/>
    <row r="821" ht="24.0" customHeight="1"/>
    <row r="822" ht="24.0" customHeight="1"/>
    <row r="823" ht="24.0" customHeight="1"/>
    <row r="824" ht="24.0" customHeight="1"/>
    <row r="825" ht="24.0" customHeight="1"/>
    <row r="826" ht="24.0" customHeight="1"/>
    <row r="827" ht="24.0" customHeight="1"/>
    <row r="828" ht="24.0" customHeight="1"/>
    <row r="829" ht="24.0" customHeight="1"/>
    <row r="830" ht="24.0" customHeight="1"/>
    <row r="831" ht="24.0" customHeight="1"/>
    <row r="832" ht="24.0" customHeight="1"/>
    <row r="833" ht="24.0" customHeight="1"/>
    <row r="834" ht="24.0" customHeight="1"/>
    <row r="835" ht="24.0" customHeight="1"/>
    <row r="836" ht="24.0" customHeight="1"/>
    <row r="837" ht="24.0" customHeight="1"/>
    <row r="838" ht="24.0" customHeight="1"/>
    <row r="839" ht="24.0" customHeight="1"/>
    <row r="840" ht="24.0" customHeight="1"/>
    <row r="841" ht="24.0" customHeight="1"/>
    <row r="842" ht="24.0" customHeight="1"/>
    <row r="843" ht="24.0" customHeight="1"/>
    <row r="844" ht="24.0" customHeight="1"/>
    <row r="845" ht="24.0" customHeight="1"/>
    <row r="846" ht="24.0" customHeight="1"/>
    <row r="847" ht="24.0" customHeight="1"/>
    <row r="848" ht="24.0" customHeight="1"/>
    <row r="849" ht="24.0" customHeight="1"/>
    <row r="850" ht="24.0" customHeight="1"/>
    <row r="851" ht="24.0" customHeight="1"/>
    <row r="852" ht="24.0" customHeight="1"/>
    <row r="853" ht="24.0" customHeight="1"/>
    <row r="854" ht="24.0" customHeight="1"/>
    <row r="855" ht="24.0" customHeight="1"/>
    <row r="856" ht="24.0" customHeight="1"/>
    <row r="857" ht="24.0" customHeight="1"/>
    <row r="858" ht="24.0" customHeight="1"/>
    <row r="859" ht="24.0" customHeight="1"/>
    <row r="860" ht="24.0" customHeight="1"/>
    <row r="861" ht="24.0" customHeight="1"/>
    <row r="862" ht="24.0" customHeight="1"/>
    <row r="863" ht="24.0" customHeight="1"/>
    <row r="864" ht="24.0" customHeight="1"/>
    <row r="865" ht="24.0" customHeight="1"/>
    <row r="866" ht="24.0" customHeight="1"/>
    <row r="867" ht="24.0" customHeight="1"/>
    <row r="868" ht="24.0" customHeight="1"/>
    <row r="869" ht="24.0" customHeight="1"/>
    <row r="870" ht="24.0" customHeight="1"/>
    <row r="871" ht="24.0" customHeight="1"/>
    <row r="872" ht="24.0" customHeight="1"/>
    <row r="873" ht="24.0" customHeight="1"/>
    <row r="874" ht="24.0" customHeight="1"/>
    <row r="875" ht="24.0" customHeight="1"/>
    <row r="876" ht="24.0" customHeight="1"/>
    <row r="877" ht="24.0" customHeight="1"/>
    <row r="878" ht="24.0" customHeight="1"/>
    <row r="879" ht="24.0" customHeight="1"/>
    <row r="880" ht="24.0" customHeight="1"/>
    <row r="881" ht="24.0" customHeight="1"/>
    <row r="882" ht="24.0" customHeight="1"/>
    <row r="883" ht="24.0" customHeight="1"/>
    <row r="884" ht="24.0" customHeight="1"/>
    <row r="885" ht="24.0" customHeight="1"/>
    <row r="886" ht="24.0" customHeight="1"/>
    <row r="887" ht="24.0" customHeight="1"/>
    <row r="888" ht="24.0" customHeight="1"/>
    <row r="889" ht="24.0" customHeight="1"/>
    <row r="890" ht="24.0" customHeight="1"/>
    <row r="891" ht="24.0" customHeight="1"/>
    <row r="892" ht="24.0" customHeight="1"/>
    <row r="893" ht="24.0" customHeight="1"/>
    <row r="894" ht="24.0" customHeight="1"/>
    <row r="895" ht="24.0" customHeight="1"/>
    <row r="896" ht="24.0" customHeight="1"/>
    <row r="897" ht="24.0" customHeight="1"/>
    <row r="898" ht="24.0" customHeight="1"/>
    <row r="899" ht="24.0" customHeight="1"/>
    <row r="900" ht="24.0" customHeight="1"/>
    <row r="901" ht="24.0" customHeight="1"/>
    <row r="902" ht="24.0" customHeight="1"/>
    <row r="903" ht="24.0" customHeight="1"/>
    <row r="904" ht="24.0" customHeight="1"/>
    <row r="905" ht="24.0" customHeight="1"/>
    <row r="906" ht="24.0" customHeight="1"/>
    <row r="907" ht="24.0" customHeight="1"/>
    <row r="908" ht="24.0" customHeight="1"/>
    <row r="909" ht="24.0" customHeight="1"/>
    <row r="910" ht="24.0" customHeight="1"/>
    <row r="911" ht="24.0" customHeight="1"/>
    <row r="912" ht="24.0" customHeight="1"/>
    <row r="913" ht="24.0" customHeight="1"/>
    <row r="914" ht="24.0" customHeight="1"/>
    <row r="915" ht="24.0" customHeight="1"/>
    <row r="916" ht="24.0" customHeight="1"/>
    <row r="917" ht="24.0" customHeight="1"/>
    <row r="918" ht="24.0" customHeight="1"/>
    <row r="919" ht="24.0" customHeight="1"/>
    <row r="920" ht="24.0" customHeight="1"/>
    <row r="921" ht="24.0" customHeight="1"/>
    <row r="922" ht="24.0" customHeight="1"/>
    <row r="923" ht="24.0" customHeight="1"/>
    <row r="924" ht="24.0" customHeight="1"/>
    <row r="925" ht="24.0" customHeight="1"/>
    <row r="926" ht="24.0" customHeight="1"/>
    <row r="927" ht="24.0" customHeight="1"/>
    <row r="928" ht="24.0" customHeight="1"/>
    <row r="929" ht="24.0" customHeight="1"/>
    <row r="930" ht="24.0" customHeight="1"/>
    <row r="931" ht="24.0" customHeight="1"/>
    <row r="932" ht="24.0" customHeight="1"/>
    <row r="933" ht="24.0" customHeight="1"/>
    <row r="934" ht="24.0" customHeight="1"/>
    <row r="935" ht="24.0" customHeight="1"/>
    <row r="936" ht="24.0" customHeight="1"/>
    <row r="937" ht="24.0" customHeight="1"/>
    <row r="938" ht="24.0" customHeight="1"/>
    <row r="939" ht="24.0" customHeight="1"/>
    <row r="940" ht="24.0" customHeight="1"/>
    <row r="941" ht="24.0" customHeight="1"/>
    <row r="942" ht="24.0" customHeight="1"/>
    <row r="943" ht="24.0" customHeight="1"/>
    <row r="944" ht="24.0" customHeight="1"/>
    <row r="945" ht="24.0" customHeight="1"/>
    <row r="946" ht="24.0" customHeight="1"/>
    <row r="947" ht="24.0" customHeight="1"/>
    <row r="948" ht="24.0" customHeight="1"/>
    <row r="949" ht="24.0" customHeight="1"/>
    <row r="950" ht="24.0" customHeight="1"/>
    <row r="951" ht="24.0" customHeight="1"/>
    <row r="952" ht="24.0" customHeight="1"/>
    <row r="953" ht="24.0" customHeight="1"/>
    <row r="954" ht="24.0" customHeight="1"/>
    <row r="955" ht="24.0" customHeight="1"/>
    <row r="956" ht="24.0" customHeight="1"/>
    <row r="957" ht="24.0" customHeight="1"/>
    <row r="958" ht="24.0" customHeight="1"/>
    <row r="959" ht="24.0" customHeight="1"/>
    <row r="960" ht="24.0" customHeight="1"/>
    <row r="961" ht="24.0" customHeight="1"/>
    <row r="962" ht="24.0" customHeight="1"/>
    <row r="963" ht="24.0" customHeight="1"/>
    <row r="964" ht="24.0" customHeight="1"/>
    <row r="965" ht="24.0" customHeight="1"/>
    <row r="966" ht="24.0" customHeight="1"/>
    <row r="967" ht="24.0" customHeight="1"/>
    <row r="968" ht="24.0" customHeight="1"/>
    <row r="969" ht="24.0" customHeight="1"/>
    <row r="970" ht="24.0" customHeight="1"/>
    <row r="971" ht="24.0" customHeight="1"/>
    <row r="972" ht="24.0" customHeight="1"/>
    <row r="973" ht="24.0" customHeight="1"/>
    <row r="974" ht="24.0" customHeight="1"/>
    <row r="975" ht="24.0" customHeight="1"/>
    <row r="976" ht="24.0" customHeight="1"/>
    <row r="977" ht="24.0" customHeight="1"/>
    <row r="978" ht="24.0" customHeight="1"/>
    <row r="979" ht="24.0" customHeight="1"/>
    <row r="980" ht="24.0" customHeight="1"/>
    <row r="981" ht="24.0" customHeight="1"/>
    <row r="982" ht="24.0" customHeight="1"/>
    <row r="983" ht="24.0" customHeight="1"/>
    <row r="984" ht="24.0" customHeight="1"/>
    <row r="985" ht="24.0" customHeight="1"/>
    <row r="986" ht="24.0" customHeight="1"/>
    <row r="987" ht="24.0" customHeight="1"/>
    <row r="988" ht="24.0" customHeight="1"/>
    <row r="989" ht="24.0" customHeight="1"/>
    <row r="990" ht="24.0" customHeight="1"/>
    <row r="991" ht="24.0" customHeight="1"/>
    <row r="992" ht="24.0" customHeight="1"/>
    <row r="993" ht="24.0" customHeight="1"/>
    <row r="994" ht="24.0" customHeight="1"/>
    <row r="995" ht="24.0" customHeight="1"/>
    <row r="996" ht="24.0" customHeight="1"/>
    <row r="997" ht="24.0" customHeight="1"/>
    <row r="998" ht="24.0" customHeight="1"/>
    <row r="999" ht="24.0" customHeight="1"/>
    <row r="1000" ht="24.0" customHeight="1"/>
  </sheetData>
  <printOptions/>
  <pageMargins bottom="0.75" footer="0.0" header="0.0" left="0.7" right="0.7" top="0.75"/>
  <pageSetup orientation="landscape"/>
  <drawing r:id="rId1"/>
</worksheet>
</file>