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<sst xmlns="http://schemas.openxmlformats.org/spreadsheetml/2006/main" count="183" uniqueCount="148">
  <si>
    <t>Cálculo 2-2022-2</t>
  </si>
  <si>
    <t/>
  </si>
  <si>
    <t>31 de jan.</t>
  </si>
  <si>
    <t>06 de fev.</t>
  </si>
  <si>
    <t>10 de fev.</t>
  </si>
  <si>
    <t>17 de fev.</t>
  </si>
  <si>
    <t>03 de mar.</t>
  </si>
  <si>
    <t>24 de mar.</t>
  </si>
  <si>
    <t>31 de mar.</t>
  </si>
  <si>
    <t>21 de abr.</t>
  </si>
  <si>
    <t>29 de abr.</t>
  </si>
  <si>
    <t>05 de mai.</t>
  </si>
  <si>
    <t>18 de mai.</t>
  </si>
  <si>
    <t>23 de mai.</t>
  </si>
  <si>
    <t>prova 1</t>
  </si>
  <si>
    <t>prova 2</t>
  </si>
  <si>
    <t>prova 3</t>
  </si>
  <si>
    <t>prova 4</t>
  </si>
  <si>
    <t>sobre compensar as aulas</t>
  </si>
  <si>
    <t>Revisão Cálculo 1</t>
  </si>
  <si>
    <t>lista 2</t>
  </si>
  <si>
    <t>lista 3</t>
  </si>
  <si>
    <t>lista 4</t>
  </si>
  <si>
    <t>lista 5</t>
  </si>
  <si>
    <t>lista 6</t>
  </si>
  <si>
    <t>lista 7</t>
  </si>
  <si>
    <t>lista 8</t>
  </si>
  <si>
    <t>lista 9</t>
  </si>
  <si>
    <t>lista 10</t>
  </si>
  <si>
    <t>lista 11</t>
  </si>
  <si>
    <t>Média da turma</t>
  </si>
  <si>
    <t>lista</t>
  </si>
  <si>
    <t>prova</t>
  </si>
  <si>
    <t>ab2</t>
  </si>
  <si>
    <t>ALBERTO PRAZERES CORTEZ</t>
  </si>
  <si>
    <t xml:space="preserve"> CARLOS </t>
  </si>
  <si>
    <t>calpc@ic.ufal.br</t>
  </si>
  <si>
    <t>SILVA GOMES</t>
  </si>
  <si>
    <t xml:space="preserve"> GUILHERME OLIVEIRA </t>
  </si>
  <si>
    <t>gosg@ic.ufal.br</t>
  </si>
  <si>
    <t xml:space="preserve"> BIGGI DE SOUZA CAVALCANTE</t>
  </si>
  <si>
    <t xml:space="preserve"> LEILA MARIA</t>
  </si>
  <si>
    <t>lmbsc@ic.ufal.br</t>
  </si>
  <si>
    <t>SANTOS</t>
  </si>
  <si>
    <t xml:space="preserve"> MARCUS VINICIUS </t>
  </si>
  <si>
    <t>mvs@ic.ufal.br</t>
  </si>
  <si>
    <t>ARIADNA FAVARON CARDOSO</t>
  </si>
  <si>
    <t xml:space="preserve"> WANESSA MARIA </t>
  </si>
  <si>
    <t>wmafc@ic.ufal.br</t>
  </si>
  <si>
    <t>VINICIUS FERREIRA RODRIGUES</t>
  </si>
  <si>
    <t xml:space="preserve">ARTHUR </t>
  </si>
  <si>
    <t>avfr@ic.ufal.br</t>
  </si>
  <si>
    <t>dos Santos Mesquita</t>
  </si>
  <si>
    <t xml:space="preserve">Adeilton </t>
  </si>
  <si>
    <t>asm4@ic.ufal.br</t>
  </si>
  <si>
    <t>Padilha Dantas Valões da Rocha</t>
  </si>
  <si>
    <t>Arthur</t>
  </si>
  <si>
    <t>apdvr@ic.ufal.br</t>
  </si>
  <si>
    <t>DE JESUS CAVALCANTE</t>
  </si>
  <si>
    <t xml:space="preserve">CAIO DANIEL </t>
  </si>
  <si>
    <t>cdjc@ic.ufal.br</t>
  </si>
  <si>
    <t>VINICIUS DE SOUZA CASSIMIRO</t>
  </si>
  <si>
    <t xml:space="preserve">CARLOS </t>
  </si>
  <si>
    <t>cvsc@ic.ufal.br</t>
  </si>
  <si>
    <t>MONTEIRO DE ARAUJO</t>
  </si>
  <si>
    <t xml:space="preserve">DONVICTON </t>
  </si>
  <si>
    <t>dma@ic.ufal.br</t>
  </si>
  <si>
    <t xml:space="preserve">Da Silva Gadelha 	</t>
  </si>
  <si>
    <t xml:space="preserve">Dvyson Jhonata </t>
  </si>
  <si>
    <t>djsg@ic.ufal.br</t>
  </si>
  <si>
    <t>COSTA DE AZEVEDO FILHO</t>
  </si>
  <si>
    <t xml:space="preserve">EDEILSON </t>
  </si>
  <si>
    <t>ecaf@ic.ufal.br</t>
  </si>
  <si>
    <t>VIEIRA DA SILVA</t>
  </si>
  <si>
    <t xml:space="preserve">EDUARDO </t>
  </si>
  <si>
    <t>edvs@ic.ufal.br</t>
  </si>
  <si>
    <t>WENDEL ALVES DOS SANTOS</t>
  </si>
  <si>
    <t xml:space="preserve">ERICK </t>
  </si>
  <si>
    <t>ewas@ic.ufal.br</t>
  </si>
  <si>
    <t>Correia Lopes dos Santos</t>
  </si>
  <si>
    <t xml:space="preserve">Elvis </t>
  </si>
  <si>
    <t>ecls@ic.ufal.br</t>
  </si>
  <si>
    <t>Júnior</t>
  </si>
  <si>
    <t>Eugênio</t>
  </si>
  <si>
    <t>eugelisa@gmail.com</t>
  </si>
  <si>
    <t>Ormindo Braz Júnior</t>
  </si>
  <si>
    <t>Evaldo</t>
  </si>
  <si>
    <t>eobj@ic.ufal.br</t>
  </si>
  <si>
    <t>DE MIRANDA RAMOS SOARES</t>
  </si>
  <si>
    <t xml:space="preserve">GABRIELA PONTES </t>
  </si>
  <si>
    <t>gpmrs@ic.ufal.br</t>
  </si>
  <si>
    <t>Rodrigues</t>
  </si>
  <si>
    <t>Gel</t>
  </si>
  <si>
    <t>gelrbarbosa@gmail.com</t>
  </si>
  <si>
    <t xml:space="preserve">Nunes Alves	</t>
  </si>
  <si>
    <t xml:space="preserve">Guilherme </t>
  </si>
  <si>
    <t>gna@ic.ufal.br</t>
  </si>
  <si>
    <t>de Lima Gomes</t>
  </si>
  <si>
    <t>Higor</t>
  </si>
  <si>
    <t>hlg@ic.ufal.br</t>
  </si>
  <si>
    <t>VICTOR CRISTINO PINTO</t>
  </si>
  <si>
    <t xml:space="preserve">JOAO </t>
  </si>
  <si>
    <t>jvcp@ic.ufal.br</t>
  </si>
  <si>
    <t>DA SILVA</t>
  </si>
  <si>
    <t xml:space="preserve">JOSE ANDERSON </t>
  </si>
  <si>
    <t>jandersons@ic.ufal.br</t>
  </si>
  <si>
    <t>DE OLIVEIRA NETO</t>
  </si>
  <si>
    <t xml:space="preserve">JOSE FELIX </t>
  </si>
  <si>
    <t>jfon@ic.ufal.br</t>
  </si>
  <si>
    <t>AZEVEDO PEREIRA</t>
  </si>
  <si>
    <t xml:space="preserve">JULIA </t>
  </si>
  <si>
    <t>jap@ic.ufal.br</t>
  </si>
  <si>
    <t>Simões</t>
  </si>
  <si>
    <t>João Pedro</t>
  </si>
  <si>
    <t>jpsss@ic.ufal.br</t>
  </si>
  <si>
    <t>JOSE DE ALENCAR SOUSA</t>
  </si>
  <si>
    <t xml:space="preserve">LANDRI </t>
  </si>
  <si>
    <t>ljas@ic.ufal.br</t>
  </si>
  <si>
    <t>LIMA BARBOSA PEREIRA</t>
  </si>
  <si>
    <t xml:space="preserve">LEONARDO </t>
  </si>
  <si>
    <t>llbp@ic.ufal.br</t>
  </si>
  <si>
    <t>BEZERRA BASTOS</t>
  </si>
  <si>
    <t xml:space="preserve">LUIZA </t>
  </si>
  <si>
    <t>luib@ic.ufal.br</t>
  </si>
  <si>
    <t>Antônia</t>
  </si>
  <si>
    <t>Maria</t>
  </si>
  <si>
    <t>marr@ic.ufal.br</t>
  </si>
  <si>
    <t xml:space="preserve">Fernandes Dantas	</t>
  </si>
  <si>
    <t xml:space="preserve">Matheus </t>
  </si>
  <si>
    <t>mfd@ic.ufal.br</t>
  </si>
  <si>
    <t>VINICIUS DE ALMEIDA FERNANDES</t>
  </si>
  <si>
    <t xml:space="preserve">RICARDO </t>
  </si>
  <si>
    <t>rvaf@ic.ufal.br</t>
  </si>
  <si>
    <t>Santos</t>
  </si>
  <si>
    <t>Rayssa</t>
  </si>
  <si>
    <t>rayssa.santos@ceca.ufal.br</t>
  </si>
  <si>
    <t>Alves</t>
  </si>
  <si>
    <t>Renalvo</t>
  </si>
  <si>
    <t>rafj@ic.ufal.br</t>
  </si>
  <si>
    <t>ALBUQUERQUE SALES DE ALENCAR</t>
  </si>
  <si>
    <t xml:space="preserve">VINICIUS </t>
  </si>
  <si>
    <t>vas@ic.ufal.br</t>
  </si>
  <si>
    <t>Avila Canuto de Araujo</t>
  </si>
  <si>
    <t xml:space="preserve">Victor Manoel </t>
  </si>
  <si>
    <t>vmaca@ic.ufal.br</t>
  </si>
  <si>
    <t>Cabral</t>
  </si>
  <si>
    <t>Vinícius</t>
  </si>
  <si>
    <t>vini12cabral13@gmail.com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</si>
</sst>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  <xf borderId="0" fillId="0" fontId="9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5" width="12.86"/>
    <col customWidth="1" min="6" max="6" width="11.86"/>
    <col customWidth="1" min="7" max="8" width="16.0"/>
    <col customWidth="1" min="9" max="9" width="8.14"/>
    <col customWidth="1" min="10" max="10" width="11.57"/>
    <col customWidth="1" min="11" max="11" width="11.86"/>
    <col customWidth="1" min="12" max="12" width="6.86"/>
    <col customWidth="1" min="13" max="13" width="7.14"/>
    <col customWidth="1" min="14" max="14" width="11.29"/>
    <col customWidth="1" min="15" max="15" width="12.71"/>
    <col customWidth="1" min="16" max="16" width="8.71"/>
    <col customWidth="1" min="17" max="17" width="6.71"/>
    <col customWidth="1" min="18" max="18" width="10.0"/>
    <col customWidth="1" min="19" max="19" width="9.43"/>
    <col customWidth="1" min="20" max="20" width="15.71"/>
    <col customWidth="1" min="21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</row>
    <row r="2" ht="12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  <c r="T2" s="4" t="s">
        <v>29</v>
      </c>
    </row>
    <row r="3" ht="24.0" customHeight="1">
      <c r="A3" s="5" t="str">
        <f>hyperlink("https://classroom.google.com/c/NTg0MTg3NzI2MTcw",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  <c r="S3" s="2">
        <v>100.0</v>
      </c>
      <c r="T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</row>
    <row r="5" ht="24.75" customHeight="1">
      <c r="A5" s="8" t="s">
        <v>30</v>
      </c>
      <c r="B5" s="8" t="s">
        <v>1</v>
      </c>
      <c r="C5" s="8" t="s">
        <v>1</v>
      </c>
      <c r="D5" s="9">
        <f>iferror(sumifs(E5:T5,E5:T5,"&lt;&gt;",E4:T4,"")/sumifs(E3:T3,E5:T5,"&lt;&gt;",E4:T4,""),"")</f>
        <v>0.7712054244</v>
      </c>
      <c r="E5" s="10">
        <f t="shared" ref="E5:T5" si="1">iferror(average(E6:E43),"")</f>
        <v>54.125</v>
      </c>
      <c r="F5" s="10">
        <f t="shared" si="1"/>
        <v>63.9</v>
      </c>
      <c r="G5" s="10">
        <f t="shared" si="1"/>
        <v>39.48148148</v>
      </c>
      <c r="H5" s="10">
        <f t="shared" si="1"/>
        <v>63.18181818</v>
      </c>
      <c r="I5" s="10" t="str">
        <f t="shared" si="1"/>
        <v/>
      </c>
      <c r="J5" s="10">
        <f t="shared" si="1"/>
        <v>86.34615385</v>
      </c>
      <c r="K5" s="10">
        <f t="shared" si="1"/>
        <v>83.3</v>
      </c>
      <c r="L5" s="10">
        <f t="shared" si="1"/>
        <v>87.84615385</v>
      </c>
      <c r="M5" s="10">
        <f t="shared" si="1"/>
        <v>84.4</v>
      </c>
      <c r="N5" s="10" t="str">
        <f t="shared" si="1"/>
        <v/>
      </c>
      <c r="O5" s="10" t="str">
        <f t="shared" si="1"/>
        <v/>
      </c>
      <c r="P5" s="10">
        <f t="shared" si="1"/>
        <v>77.65217391</v>
      </c>
      <c r="Q5" s="10">
        <f t="shared" si="1"/>
        <v>83.52173913</v>
      </c>
      <c r="R5" s="10">
        <f t="shared" si="1"/>
        <v>90.71428571</v>
      </c>
      <c r="S5" s="10">
        <f t="shared" si="1"/>
        <v>97.46666667</v>
      </c>
      <c r="T5" s="10">
        <f t="shared" si="1"/>
        <v>90.63157895</v>
      </c>
      <c r="U5" s="11" t="s">
        <v>31</v>
      </c>
      <c r="V5" s="11" t="s">
        <v>32</v>
      </c>
      <c r="W5" s="11" t="s">
        <v>33</v>
      </c>
    </row>
    <row r="6" ht="24.0" customHeight="1">
      <c r="A6" s="12" t="s">
        <v>34</v>
      </c>
      <c r="B6" s="12" t="s">
        <v>35</v>
      </c>
      <c r="C6" s="12" t="s">
        <v>36</v>
      </c>
      <c r="D6" s="13">
        <f>iferror(sumif(E6:T6,"&lt;&gt;")/sumif(E6:T6,"&lt;&gt;",E3:T3),"")</f>
        <v>0.7083333333</v>
      </c>
      <c r="E6" s="12">
        <v>58.0</v>
      </c>
      <c r="F6" s="12">
        <v>55.0</v>
      </c>
      <c r="G6" s="12">
        <v>10.0</v>
      </c>
      <c r="H6" s="12">
        <v>44.0</v>
      </c>
      <c r="I6" s="12"/>
      <c r="J6" s="12">
        <v>95.0</v>
      </c>
      <c r="K6" s="12">
        <v>100.0</v>
      </c>
      <c r="L6" s="12">
        <v>64.0</v>
      </c>
      <c r="M6" s="12">
        <v>84.0</v>
      </c>
      <c r="N6" s="12"/>
      <c r="O6" s="12"/>
      <c r="P6" s="12">
        <v>80.0</v>
      </c>
      <c r="Q6" s="12">
        <v>73.0</v>
      </c>
      <c r="R6" s="12">
        <v>97.0</v>
      </c>
      <c r="S6" s="12"/>
      <c r="T6" s="12">
        <v>90.0</v>
      </c>
      <c r="U6" s="14">
        <f t="shared" ref="U6:U43" si="2">(P6+Q6+R6+S6+T6)/5</f>
        <v>68</v>
      </c>
      <c r="V6" s="14">
        <f t="shared" ref="V6:V43" si="3">(G6+H6)/2</f>
        <v>27</v>
      </c>
      <c r="W6" s="14">
        <f t="shared" ref="W6:W43" si="4">V6*0.8+U6*0.2</f>
        <v>35.2</v>
      </c>
    </row>
    <row r="7" ht="24.0" customHeight="1">
      <c r="A7" s="12" t="s">
        <v>37</v>
      </c>
      <c r="B7" s="12" t="s">
        <v>38</v>
      </c>
      <c r="C7" s="12" t="s">
        <v>39</v>
      </c>
      <c r="D7" s="13">
        <f>iferror(sumif(E7:T7,"&lt;&gt;")/sumif(E7:T7,"&lt;&gt;",E3:T3),"")</f>
        <v>0.8161538462</v>
      </c>
      <c r="E7" s="12">
        <v>47.0</v>
      </c>
      <c r="F7" s="12">
        <v>40.0</v>
      </c>
      <c r="G7" s="12">
        <v>47.0</v>
      </c>
      <c r="H7" s="12">
        <v>66.0</v>
      </c>
      <c r="I7" s="12"/>
      <c r="J7" s="12">
        <v>82.0</v>
      </c>
      <c r="K7" s="12">
        <v>100.0</v>
      </c>
      <c r="L7" s="12">
        <v>90.0</v>
      </c>
      <c r="M7" s="12">
        <v>93.0</v>
      </c>
      <c r="N7" s="12"/>
      <c r="O7" s="12"/>
      <c r="P7" s="12">
        <v>98.0</v>
      </c>
      <c r="Q7" s="12">
        <v>98.0</v>
      </c>
      <c r="R7" s="12">
        <v>100.0</v>
      </c>
      <c r="S7" s="12">
        <v>100.0</v>
      </c>
      <c r="T7" s="12">
        <v>100.0</v>
      </c>
      <c r="U7" s="14">
        <f t="shared" si="2"/>
        <v>99.2</v>
      </c>
      <c r="V7" s="14">
        <f t="shared" si="3"/>
        <v>56.5</v>
      </c>
      <c r="W7" s="14">
        <f t="shared" si="4"/>
        <v>65.04</v>
      </c>
    </row>
    <row r="8" ht="24.0" customHeight="1">
      <c r="A8" s="12" t="s">
        <v>40</v>
      </c>
      <c r="B8" s="12" t="s">
        <v>41</v>
      </c>
      <c r="C8" s="12" t="s">
        <v>42</v>
      </c>
      <c r="D8" s="13">
        <f>iferror(sumif(E8:T8,"&lt;&gt;")/sumif(E8:T8,"&lt;&gt;",E3:T3),"")</f>
        <v>0.8207692308</v>
      </c>
      <c r="E8" s="12">
        <v>65.0</v>
      </c>
      <c r="F8" s="12">
        <v>60.0</v>
      </c>
      <c r="G8" s="12">
        <v>73.0</v>
      </c>
      <c r="H8" s="12">
        <v>80.0</v>
      </c>
      <c r="I8" s="12"/>
      <c r="J8" s="12">
        <v>94.0</v>
      </c>
      <c r="K8" s="12">
        <v>70.0</v>
      </c>
      <c r="L8" s="12">
        <v>88.0</v>
      </c>
      <c r="M8" s="12">
        <v>81.0</v>
      </c>
      <c r="N8" s="12"/>
      <c r="O8" s="12"/>
      <c r="P8" s="12">
        <v>96.0</v>
      </c>
      <c r="Q8" s="12">
        <v>78.0</v>
      </c>
      <c r="R8" s="12">
        <v>85.0</v>
      </c>
      <c r="S8" s="12">
        <v>97.0</v>
      </c>
      <c r="T8" s="12">
        <v>100.0</v>
      </c>
      <c r="U8" s="14">
        <f t="shared" si="2"/>
        <v>91.2</v>
      </c>
      <c r="V8" s="14">
        <f t="shared" si="3"/>
        <v>76.5</v>
      </c>
      <c r="W8" s="14">
        <f t="shared" si="4"/>
        <v>79.44</v>
      </c>
    </row>
    <row r="9" ht="24.0" customHeight="1">
      <c r="A9" s="12" t="s">
        <v>43</v>
      </c>
      <c r="B9" s="12" t="s">
        <v>44</v>
      </c>
      <c r="C9" s="12" t="s">
        <v>45</v>
      </c>
      <c r="D9" s="13">
        <f>iferror(sumif(E9:T9,"&lt;&gt;")/sumif(E9:T9,"&lt;&gt;",E3:T3),"")</f>
        <v>0.3533333333</v>
      </c>
      <c r="E9" s="12">
        <v>30.0</v>
      </c>
      <c r="F9" s="12">
        <v>55.0</v>
      </c>
      <c r="G9" s="12">
        <v>8.0</v>
      </c>
      <c r="H9" s="12"/>
      <c r="I9" s="12"/>
      <c r="J9" s="12"/>
      <c r="K9" s="12">
        <v>25.0</v>
      </c>
      <c r="L9" s="12"/>
      <c r="M9" s="12">
        <v>52.0</v>
      </c>
      <c r="N9" s="12"/>
      <c r="O9" s="12"/>
      <c r="P9" s="12">
        <v>42.0</v>
      </c>
      <c r="Q9" s="12"/>
      <c r="R9" s="12"/>
      <c r="S9" s="12"/>
      <c r="T9" s="12"/>
      <c r="U9" s="14">
        <f t="shared" si="2"/>
        <v>8.4</v>
      </c>
      <c r="V9" s="14">
        <f t="shared" si="3"/>
        <v>4</v>
      </c>
      <c r="W9" s="14">
        <f t="shared" si="4"/>
        <v>4.88</v>
      </c>
    </row>
    <row r="10" ht="24.0" customHeight="1">
      <c r="A10" s="12" t="s">
        <v>46</v>
      </c>
      <c r="B10" s="12" t="s">
        <v>47</v>
      </c>
      <c r="C10" s="12" t="s">
        <v>48</v>
      </c>
      <c r="D10" s="13">
        <f>iferror(sumif(E10:T10,"&lt;&gt;")/sumif(E10:T10,"&lt;&gt;",E3:T3),"")</f>
        <v>0.4927272727</v>
      </c>
      <c r="E10" s="12">
        <v>53.0</v>
      </c>
      <c r="F10" s="12">
        <v>68.0</v>
      </c>
      <c r="G10" s="12">
        <v>48.0</v>
      </c>
      <c r="H10" s="12">
        <v>20.0</v>
      </c>
      <c r="I10" s="12"/>
      <c r="J10" s="12"/>
      <c r="K10" s="12">
        <v>25.0</v>
      </c>
      <c r="L10" s="12">
        <v>97.0</v>
      </c>
      <c r="M10" s="12">
        <v>35.0</v>
      </c>
      <c r="N10" s="12"/>
      <c r="O10" s="12"/>
      <c r="P10" s="12">
        <v>42.0</v>
      </c>
      <c r="Q10" s="12">
        <v>44.0</v>
      </c>
      <c r="R10" s="12">
        <v>40.0</v>
      </c>
      <c r="S10" s="12"/>
      <c r="T10" s="12">
        <v>70.0</v>
      </c>
      <c r="U10" s="14">
        <f t="shared" si="2"/>
        <v>39.2</v>
      </c>
      <c r="V10" s="14">
        <f t="shared" si="3"/>
        <v>34</v>
      </c>
      <c r="W10" s="14">
        <f t="shared" si="4"/>
        <v>35.04</v>
      </c>
    </row>
    <row r="11" ht="24.0" customHeight="1">
      <c r="A11" s="12" t="s">
        <v>49</v>
      </c>
      <c r="B11" s="12" t="s">
        <v>50</v>
      </c>
      <c r="C11" s="12" t="s">
        <v>51</v>
      </c>
      <c r="D11" s="13">
        <f>iferror(sumif(E11:T11,"&lt;&gt;")/sumif(E11:T11,"&lt;&gt;",E3:T3),"")</f>
        <v>0.78</v>
      </c>
      <c r="E11" s="12">
        <v>75.0</v>
      </c>
      <c r="F11" s="12">
        <v>60.0</v>
      </c>
      <c r="G11" s="12">
        <v>30.0</v>
      </c>
      <c r="H11" s="12">
        <v>58.0</v>
      </c>
      <c r="I11" s="12"/>
      <c r="J11" s="12">
        <v>97.0</v>
      </c>
      <c r="K11" s="12">
        <v>100.0</v>
      </c>
      <c r="L11" s="12">
        <v>73.0</v>
      </c>
      <c r="M11" s="12">
        <v>84.0</v>
      </c>
      <c r="N11" s="12"/>
      <c r="O11" s="12"/>
      <c r="P11" s="12">
        <v>84.0</v>
      </c>
      <c r="Q11" s="12">
        <v>88.0</v>
      </c>
      <c r="R11" s="12">
        <v>95.0</v>
      </c>
      <c r="S11" s="12">
        <v>100.0</v>
      </c>
      <c r="T11" s="12">
        <v>70.0</v>
      </c>
      <c r="U11" s="14">
        <f t="shared" si="2"/>
        <v>87.4</v>
      </c>
      <c r="V11" s="14">
        <f t="shared" si="3"/>
        <v>44</v>
      </c>
      <c r="W11" s="14">
        <f t="shared" si="4"/>
        <v>52.68</v>
      </c>
    </row>
    <row r="12" ht="24.0" customHeight="1">
      <c r="A12" s="12" t="s">
        <v>52</v>
      </c>
      <c r="B12" s="12" t="s">
        <v>53</v>
      </c>
      <c r="C12" s="12" t="s">
        <v>54</v>
      </c>
      <c r="D12" s="13">
        <f>iferror(sumif(E12:T12,"&lt;&gt;")/sumif(E12:T12,"&lt;&gt;",E3:T3),"")</f>
        <v>0.5463636364</v>
      </c>
      <c r="E12" s="12">
        <v>10.0</v>
      </c>
      <c r="F12" s="12">
        <v>45.0</v>
      </c>
      <c r="G12" s="12">
        <v>5.0</v>
      </c>
      <c r="H12" s="12">
        <v>35.0</v>
      </c>
      <c r="I12" s="12"/>
      <c r="J12" s="12">
        <v>88.0</v>
      </c>
      <c r="K12" s="12">
        <v>70.0</v>
      </c>
      <c r="L12" s="12">
        <v>98.0</v>
      </c>
      <c r="M12" s="12">
        <v>62.0</v>
      </c>
      <c r="N12" s="12"/>
      <c r="O12" s="12"/>
      <c r="P12" s="12">
        <v>30.0</v>
      </c>
      <c r="Q12" s="12">
        <v>98.0</v>
      </c>
      <c r="R12" s="12">
        <v>60.0</v>
      </c>
      <c r="S12" s="12"/>
      <c r="T12" s="12"/>
      <c r="U12" s="14">
        <f t="shared" si="2"/>
        <v>37.6</v>
      </c>
      <c r="V12" s="14">
        <f t="shared" si="3"/>
        <v>20</v>
      </c>
      <c r="W12" s="14">
        <f t="shared" si="4"/>
        <v>23.52</v>
      </c>
    </row>
    <row r="13" ht="24.0" customHeight="1">
      <c r="A13" s="12" t="s">
        <v>55</v>
      </c>
      <c r="B13" s="12" t="s">
        <v>56</v>
      </c>
      <c r="C13" s="12" t="s">
        <v>57</v>
      </c>
      <c r="D13" s="13">
        <f>iferror(sumif(E13:T13,"&lt;&gt;")/sumif(E13:T13,"&lt;&gt;",E3:T3),"")</f>
        <v>0</v>
      </c>
      <c r="E13" s="12"/>
      <c r="F13" s="12"/>
      <c r="G13" s="12"/>
      <c r="H13" s="12">
        <v>0.0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4">
        <f t="shared" si="2"/>
        <v>0</v>
      </c>
      <c r="V13" s="14">
        <f t="shared" si="3"/>
        <v>0</v>
      </c>
      <c r="W13" s="14">
        <f t="shared" si="4"/>
        <v>0</v>
      </c>
    </row>
    <row r="14" ht="24.0" customHeight="1">
      <c r="A14" s="12" t="s">
        <v>58</v>
      </c>
      <c r="B14" s="12" t="s">
        <v>59</v>
      </c>
      <c r="C14" s="12" t="s">
        <v>60</v>
      </c>
      <c r="D14" s="13">
        <f>iferror(sumif(E14:T14,"&lt;&gt;")/sumif(E14:T14,"&lt;&gt;",E3:T3),"")</f>
        <v>0.618</v>
      </c>
      <c r="E14" s="12">
        <v>42.0</v>
      </c>
      <c r="F14" s="12">
        <v>60.0</v>
      </c>
      <c r="G14" s="12">
        <v>17.0</v>
      </c>
      <c r="H14" s="12"/>
      <c r="I14" s="12"/>
      <c r="J14" s="12">
        <v>90.0</v>
      </c>
      <c r="K14" s="12">
        <v>100.0</v>
      </c>
      <c r="L14" s="12"/>
      <c r="M14" s="12"/>
      <c r="N14" s="12"/>
      <c r="O14" s="12"/>
      <c r="P14" s="12"/>
      <c r="Q14" s="12"/>
      <c r="R14" s="12"/>
      <c r="S14" s="12"/>
      <c r="T14" s="12"/>
      <c r="U14" s="14">
        <f t="shared" si="2"/>
        <v>0</v>
      </c>
      <c r="V14" s="14">
        <f t="shared" si="3"/>
        <v>8.5</v>
      </c>
      <c r="W14" s="14">
        <f t="shared" si="4"/>
        <v>6.8</v>
      </c>
    </row>
    <row r="15" ht="24.0" customHeight="1">
      <c r="A15" s="12" t="s">
        <v>61</v>
      </c>
      <c r="B15" s="12" t="s">
        <v>62</v>
      </c>
      <c r="C15" s="12" t="s">
        <v>63</v>
      </c>
      <c r="D15" s="13">
        <f>iferror(sumif(E15:T15,"&lt;&gt;")/sumif(E15:T15,"&lt;&gt;",E3:T3),"")</f>
        <v>0.515</v>
      </c>
      <c r="E15" s="12">
        <v>15.0</v>
      </c>
      <c r="F15" s="12">
        <v>42.0</v>
      </c>
      <c r="G15" s="12"/>
      <c r="H15" s="12"/>
      <c r="I15" s="12"/>
      <c r="J15" s="12">
        <v>69.0</v>
      </c>
      <c r="K15" s="12">
        <v>80.0</v>
      </c>
      <c r="L15" s="12"/>
      <c r="M15" s="12"/>
      <c r="N15" s="12"/>
      <c r="O15" s="12"/>
      <c r="P15" s="12"/>
      <c r="Q15" s="12"/>
      <c r="R15" s="12"/>
      <c r="S15" s="12"/>
      <c r="T15" s="12"/>
      <c r="U15" s="14">
        <f t="shared" si="2"/>
        <v>0</v>
      </c>
      <c r="V15" s="14">
        <f t="shared" si="3"/>
        <v>0</v>
      </c>
      <c r="W15" s="14">
        <f t="shared" si="4"/>
        <v>0</v>
      </c>
    </row>
    <row r="16" ht="24.0" customHeight="1">
      <c r="A16" s="12" t="s">
        <v>64</v>
      </c>
      <c r="B16" s="12" t="s">
        <v>65</v>
      </c>
      <c r="C16" s="12" t="s">
        <v>66</v>
      </c>
      <c r="D16" s="13">
        <f>iferror(sumif(E16:T16,"&lt;&gt;")/sumif(E16:T16,"&lt;&gt;",E3:T3),"")</f>
        <v>0.7058333333</v>
      </c>
      <c r="E16" s="12">
        <v>20.0</v>
      </c>
      <c r="F16" s="12">
        <v>47.0</v>
      </c>
      <c r="G16" s="12">
        <v>33.0</v>
      </c>
      <c r="H16" s="12">
        <v>58.0</v>
      </c>
      <c r="I16" s="12"/>
      <c r="J16" s="12">
        <v>80.0</v>
      </c>
      <c r="K16" s="12">
        <v>95.0</v>
      </c>
      <c r="L16" s="12">
        <v>72.0</v>
      </c>
      <c r="M16" s="12">
        <v>68.0</v>
      </c>
      <c r="N16" s="12"/>
      <c r="O16" s="12"/>
      <c r="P16" s="12">
        <v>98.0</v>
      </c>
      <c r="Q16" s="12">
        <v>86.0</v>
      </c>
      <c r="R16" s="12">
        <v>90.0</v>
      </c>
      <c r="S16" s="12"/>
      <c r="T16" s="12">
        <v>100.0</v>
      </c>
      <c r="U16" s="14">
        <f t="shared" si="2"/>
        <v>74.8</v>
      </c>
      <c r="V16" s="14">
        <f t="shared" si="3"/>
        <v>45.5</v>
      </c>
      <c r="W16" s="14">
        <f t="shared" si="4"/>
        <v>51.36</v>
      </c>
    </row>
    <row r="17" ht="24.0" customHeight="1">
      <c r="A17" s="12" t="s">
        <v>67</v>
      </c>
      <c r="B17" s="12" t="s">
        <v>68</v>
      </c>
      <c r="C17" s="12" t="s">
        <v>69</v>
      </c>
      <c r="D17" s="13" t="str">
        <f>iferror(sumif(E17:T17,"&lt;&gt;")/sumif(E17:T17,"&lt;&gt;",E3:T3),"")</f>
        <v/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4">
        <f t="shared" si="2"/>
        <v>0</v>
      </c>
      <c r="V17" s="14">
        <f t="shared" si="3"/>
        <v>0</v>
      </c>
      <c r="W17" s="14">
        <f t="shared" si="4"/>
        <v>0</v>
      </c>
    </row>
    <row r="18" ht="24.0" customHeight="1">
      <c r="A18" s="12" t="s">
        <v>70</v>
      </c>
      <c r="B18" s="12" t="s">
        <v>71</v>
      </c>
      <c r="C18" s="12" t="s">
        <v>72</v>
      </c>
      <c r="D18" s="13">
        <f>iferror(sumif(E18:T18,"&lt;&gt;")/sumif(E18:T18,"&lt;&gt;",E3:T3),"")</f>
        <v>0.7853846154</v>
      </c>
      <c r="E18" s="12">
        <v>51.0</v>
      </c>
      <c r="F18" s="12">
        <v>95.0</v>
      </c>
      <c r="G18" s="12">
        <v>52.0</v>
      </c>
      <c r="H18" s="12">
        <v>90.0</v>
      </c>
      <c r="I18" s="12"/>
      <c r="J18" s="12">
        <v>93.0</v>
      </c>
      <c r="K18" s="12">
        <v>70.0</v>
      </c>
      <c r="L18" s="12">
        <v>65.0</v>
      </c>
      <c r="M18" s="12">
        <v>62.0</v>
      </c>
      <c r="N18" s="12"/>
      <c r="O18" s="12"/>
      <c r="P18" s="12">
        <v>87.0</v>
      </c>
      <c r="Q18" s="12">
        <v>71.0</v>
      </c>
      <c r="R18" s="12">
        <v>95.0</v>
      </c>
      <c r="S18" s="12">
        <v>100.0</v>
      </c>
      <c r="T18" s="12">
        <v>90.0</v>
      </c>
      <c r="U18" s="14">
        <f t="shared" si="2"/>
        <v>88.6</v>
      </c>
      <c r="V18" s="14">
        <f t="shared" si="3"/>
        <v>71</v>
      </c>
      <c r="W18" s="14">
        <f t="shared" si="4"/>
        <v>74.52</v>
      </c>
    </row>
    <row r="19" ht="24.0" customHeight="1">
      <c r="A19" s="12" t="s">
        <v>73</v>
      </c>
      <c r="B19" s="12" t="s">
        <v>74</v>
      </c>
      <c r="C19" s="12" t="s">
        <v>75</v>
      </c>
      <c r="D19" s="13">
        <f>iferror(sumif(E19:T19,"&lt;&gt;")/sumif(E19:T19,"&lt;&gt;",E3:T3),"")</f>
        <v>0.8361538462</v>
      </c>
      <c r="E19" s="12">
        <v>47.0</v>
      </c>
      <c r="F19" s="12">
        <v>75.0</v>
      </c>
      <c r="G19" s="12">
        <v>62.0</v>
      </c>
      <c r="H19" s="12">
        <v>78.0</v>
      </c>
      <c r="I19" s="12"/>
      <c r="J19" s="12">
        <v>77.0</v>
      </c>
      <c r="K19" s="12">
        <v>95.0</v>
      </c>
      <c r="L19" s="12">
        <v>94.0</v>
      </c>
      <c r="M19" s="12">
        <v>94.0</v>
      </c>
      <c r="N19" s="12"/>
      <c r="O19" s="12"/>
      <c r="P19" s="12">
        <v>90.0</v>
      </c>
      <c r="Q19" s="12">
        <v>80.0</v>
      </c>
      <c r="R19" s="12">
        <v>95.0</v>
      </c>
      <c r="S19" s="12">
        <v>100.0</v>
      </c>
      <c r="T19" s="12">
        <v>100.0</v>
      </c>
      <c r="U19" s="14">
        <f t="shared" si="2"/>
        <v>93</v>
      </c>
      <c r="V19" s="14">
        <f t="shared" si="3"/>
        <v>70</v>
      </c>
      <c r="W19" s="14">
        <f t="shared" si="4"/>
        <v>74.6</v>
      </c>
    </row>
    <row r="20" ht="24.0" customHeight="1">
      <c r="A20" s="12" t="s">
        <v>76</v>
      </c>
      <c r="B20" s="12" t="s">
        <v>77</v>
      </c>
      <c r="C20" s="12" t="s">
        <v>78</v>
      </c>
      <c r="D20" s="13">
        <f>iferror(sumif(E20:T20,"&lt;&gt;")/sumif(E20:T20,"&lt;&gt;",E3:T3),"")</f>
        <v>0.7716666667</v>
      </c>
      <c r="E20" s="12">
        <v>25.0</v>
      </c>
      <c r="F20" s="12">
        <v>70.0</v>
      </c>
      <c r="G20" s="12"/>
      <c r="H20" s="12"/>
      <c r="I20" s="12"/>
      <c r="J20" s="12">
        <v>70.0</v>
      </c>
      <c r="K20" s="12">
        <v>100.0</v>
      </c>
      <c r="L20" s="12">
        <v>98.0</v>
      </c>
      <c r="M20" s="12">
        <v>100.0</v>
      </c>
      <c r="N20" s="12"/>
      <c r="O20" s="12"/>
      <c r="P20" s="12"/>
      <c r="Q20" s="12"/>
      <c r="R20" s="12"/>
      <c r="S20" s="12"/>
      <c r="T20" s="12"/>
      <c r="U20" s="14">
        <f t="shared" si="2"/>
        <v>0</v>
      </c>
      <c r="V20" s="14">
        <f t="shared" si="3"/>
        <v>0</v>
      </c>
      <c r="W20" s="14">
        <f t="shared" si="4"/>
        <v>0</v>
      </c>
    </row>
    <row r="21" ht="24.0" customHeight="1">
      <c r="A21" s="12" t="s">
        <v>79</v>
      </c>
      <c r="B21" s="12" t="s">
        <v>80</v>
      </c>
      <c r="C21" s="12" t="s">
        <v>81</v>
      </c>
      <c r="D21" s="13">
        <f>iferror(sumif(E21:T21,"&lt;&gt;")/sumif(E21:T21,"&lt;&gt;",E3:T3),"")</f>
        <v>0.7107692308</v>
      </c>
      <c r="E21" s="12">
        <v>60.0</v>
      </c>
      <c r="F21" s="12">
        <v>78.0</v>
      </c>
      <c r="G21" s="12">
        <v>39.0</v>
      </c>
      <c r="H21" s="12">
        <v>35.0</v>
      </c>
      <c r="I21" s="12"/>
      <c r="J21" s="12">
        <v>44.0</v>
      </c>
      <c r="K21" s="12">
        <v>70.0</v>
      </c>
      <c r="L21" s="12">
        <v>74.0</v>
      </c>
      <c r="M21" s="12">
        <v>88.0</v>
      </c>
      <c r="N21" s="12"/>
      <c r="O21" s="12"/>
      <c r="P21" s="12">
        <v>87.0</v>
      </c>
      <c r="Q21" s="12">
        <v>81.0</v>
      </c>
      <c r="R21" s="12">
        <v>78.0</v>
      </c>
      <c r="S21" s="12">
        <v>100.0</v>
      </c>
      <c r="T21" s="12">
        <v>90.0</v>
      </c>
      <c r="U21" s="14">
        <f t="shared" si="2"/>
        <v>87.2</v>
      </c>
      <c r="V21" s="14">
        <f t="shared" si="3"/>
        <v>37</v>
      </c>
      <c r="W21" s="14">
        <f t="shared" si="4"/>
        <v>47.04</v>
      </c>
    </row>
    <row r="22" ht="24.0" customHeight="1">
      <c r="A22" s="12" t="s">
        <v>82</v>
      </c>
      <c r="B22" s="12" t="s">
        <v>83</v>
      </c>
      <c r="C22" s="12" t="s">
        <v>84</v>
      </c>
      <c r="D22" s="13">
        <f>iferror(sumif(E22:T22,"&lt;&gt;")/sumif(E22:T22,"&lt;&gt;",E3:T3),"")</f>
        <v>0.975</v>
      </c>
      <c r="E22" s="12">
        <v>90.0</v>
      </c>
      <c r="F22" s="12">
        <v>95.0</v>
      </c>
      <c r="G22" s="12"/>
      <c r="H22" s="12"/>
      <c r="I22" s="12"/>
      <c r="J22" s="12">
        <v>100.0</v>
      </c>
      <c r="K22" s="12">
        <v>100.0</v>
      </c>
      <c r="L22" s="12">
        <v>100.0</v>
      </c>
      <c r="M22" s="12">
        <v>100.0</v>
      </c>
      <c r="N22" s="12"/>
      <c r="O22" s="12"/>
      <c r="P22" s="12">
        <v>98.0</v>
      </c>
      <c r="Q22" s="12">
        <v>97.0</v>
      </c>
      <c r="R22" s="12"/>
      <c r="S22" s="12"/>
      <c r="T22" s="12"/>
      <c r="U22" s="14">
        <f t="shared" si="2"/>
        <v>39</v>
      </c>
      <c r="V22" s="14">
        <f t="shared" si="3"/>
        <v>0</v>
      </c>
      <c r="W22" s="14">
        <f t="shared" si="4"/>
        <v>7.8</v>
      </c>
    </row>
    <row r="23" ht="24.0" customHeight="1">
      <c r="A23" s="12" t="s">
        <v>85</v>
      </c>
      <c r="B23" s="12" t="s">
        <v>86</v>
      </c>
      <c r="C23" s="12" t="s">
        <v>87</v>
      </c>
      <c r="D23" s="13" t="str">
        <f>iferror(sumif(E23:T23,"&lt;&gt;")/sumif(E23:T23,"&lt;&gt;",E3:T3),"")</f>
        <v/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>
        <f t="shared" si="2"/>
        <v>0</v>
      </c>
      <c r="V23" s="14">
        <f t="shared" si="3"/>
        <v>0</v>
      </c>
      <c r="W23" s="14">
        <f t="shared" si="4"/>
        <v>0</v>
      </c>
    </row>
    <row r="24" ht="24.0" customHeight="1">
      <c r="A24" s="12" t="s">
        <v>88</v>
      </c>
      <c r="B24" s="12" t="s">
        <v>89</v>
      </c>
      <c r="C24" s="12" t="s">
        <v>90</v>
      </c>
      <c r="D24" s="13">
        <f>iferror(sumif(E24:T24,"&lt;&gt;")/sumif(E24:T24,"&lt;&gt;",E3:T3),"")</f>
        <v>0.7618181818</v>
      </c>
      <c r="E24" s="12">
        <v>25.0</v>
      </c>
      <c r="F24" s="12">
        <v>50.0</v>
      </c>
      <c r="G24" s="12">
        <v>41.0</v>
      </c>
      <c r="H24" s="12">
        <v>68.0</v>
      </c>
      <c r="I24" s="12"/>
      <c r="J24" s="12">
        <v>100.0</v>
      </c>
      <c r="K24" s="12">
        <v>95.0</v>
      </c>
      <c r="L24" s="12">
        <v>100.0</v>
      </c>
      <c r="M24" s="12">
        <v>100.0</v>
      </c>
      <c r="N24" s="12"/>
      <c r="O24" s="12"/>
      <c r="P24" s="12">
        <v>59.0</v>
      </c>
      <c r="Q24" s="12"/>
      <c r="R24" s="12"/>
      <c r="S24" s="12">
        <v>100.0</v>
      </c>
      <c r="T24" s="12">
        <v>100.0</v>
      </c>
      <c r="U24" s="14">
        <f t="shared" si="2"/>
        <v>51.8</v>
      </c>
      <c r="V24" s="14">
        <f t="shared" si="3"/>
        <v>54.5</v>
      </c>
      <c r="W24" s="14">
        <f t="shared" si="4"/>
        <v>53.96</v>
      </c>
    </row>
    <row r="25" ht="24.0" customHeight="1">
      <c r="A25" s="12" t="s">
        <v>91</v>
      </c>
      <c r="B25" s="12" t="s">
        <v>92</v>
      </c>
      <c r="C25" s="12" t="s">
        <v>93</v>
      </c>
      <c r="D25" s="13" t="str">
        <f>iferror(sumif(E25:T25,"&lt;&gt;")/sumif(E25:T25,"&lt;&gt;",E3:T3),"")</f>
        <v/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4">
        <f t="shared" si="2"/>
        <v>0</v>
      </c>
      <c r="V25" s="14">
        <f t="shared" si="3"/>
        <v>0</v>
      </c>
      <c r="W25" s="14">
        <f t="shared" si="4"/>
        <v>0</v>
      </c>
    </row>
    <row r="26" ht="24.0" customHeight="1">
      <c r="A26" s="12" t="s">
        <v>94</v>
      </c>
      <c r="B26" s="12" t="s">
        <v>95</v>
      </c>
      <c r="C26" s="12" t="s">
        <v>96</v>
      </c>
      <c r="D26" s="13">
        <f>iferror(sumif(E26:T26,"&lt;&gt;")/sumif(E26:T26,"&lt;&gt;",E3:T3),"")</f>
        <v>0.7233333333</v>
      </c>
      <c r="E26" s="12">
        <v>38.0</v>
      </c>
      <c r="F26" s="12"/>
      <c r="G26" s="12"/>
      <c r="H26" s="12"/>
      <c r="I26" s="12"/>
      <c r="J26" s="12"/>
      <c r="K26" s="12"/>
      <c r="L26" s="12">
        <v>81.0</v>
      </c>
      <c r="M26" s="12">
        <v>98.0</v>
      </c>
      <c r="N26" s="12"/>
      <c r="O26" s="12"/>
      <c r="P26" s="12"/>
      <c r="Q26" s="12"/>
      <c r="R26" s="12"/>
      <c r="S26" s="12"/>
      <c r="T26" s="12"/>
      <c r="U26" s="14">
        <f t="shared" si="2"/>
        <v>0</v>
      </c>
      <c r="V26" s="14">
        <f t="shared" si="3"/>
        <v>0</v>
      </c>
      <c r="W26" s="14">
        <f t="shared" si="4"/>
        <v>0</v>
      </c>
    </row>
    <row r="27" ht="24.0" customHeight="1">
      <c r="A27" s="12" t="s">
        <v>97</v>
      </c>
      <c r="B27" s="12" t="s">
        <v>98</v>
      </c>
      <c r="C27" s="12" t="s">
        <v>99</v>
      </c>
      <c r="D27" s="13">
        <f>iferror(sumif(E27:T27,"&lt;&gt;")/sumif(E27:T27,"&lt;&gt;",E3:T3),"")</f>
        <v>0.8983333333</v>
      </c>
      <c r="E27" s="12">
        <v>100.0</v>
      </c>
      <c r="F27" s="12">
        <v>60.0</v>
      </c>
      <c r="G27" s="12">
        <v>37.0</v>
      </c>
      <c r="H27" s="12">
        <v>95.0</v>
      </c>
      <c r="I27" s="12"/>
      <c r="J27" s="12">
        <v>100.0</v>
      </c>
      <c r="K27" s="12">
        <v>100.0</v>
      </c>
      <c r="L27" s="12">
        <v>97.0</v>
      </c>
      <c r="M27" s="12">
        <v>96.0</v>
      </c>
      <c r="N27" s="12"/>
      <c r="O27" s="12"/>
      <c r="P27" s="12"/>
      <c r="Q27" s="12">
        <v>93.0</v>
      </c>
      <c r="R27" s="12">
        <v>100.0</v>
      </c>
      <c r="S27" s="12">
        <v>100.0</v>
      </c>
      <c r="T27" s="12">
        <v>100.0</v>
      </c>
      <c r="U27" s="14">
        <f t="shared" si="2"/>
        <v>78.6</v>
      </c>
      <c r="V27" s="14">
        <f t="shared" si="3"/>
        <v>66</v>
      </c>
      <c r="W27" s="14">
        <f t="shared" si="4"/>
        <v>68.52</v>
      </c>
    </row>
    <row r="28" ht="24.0" customHeight="1">
      <c r="A28" s="12" t="s">
        <v>100</v>
      </c>
      <c r="B28" s="12" t="s">
        <v>101</v>
      </c>
      <c r="C28" s="12" t="s">
        <v>102</v>
      </c>
      <c r="D28" s="13">
        <f>iferror(sumif(E28:T28,"&lt;&gt;")/sumif(E28:T28,"&lt;&gt;",E3:T3),"")</f>
        <v>0.88</v>
      </c>
      <c r="E28" s="12"/>
      <c r="F28" s="12"/>
      <c r="G28" s="12"/>
      <c r="H28" s="12"/>
      <c r="I28" s="12"/>
      <c r="J28" s="12">
        <v>94.0</v>
      </c>
      <c r="K28" s="12">
        <v>82.0</v>
      </c>
      <c r="L28" s="12"/>
      <c r="M28" s="12"/>
      <c r="N28" s="12"/>
      <c r="O28" s="12"/>
      <c r="P28" s="12"/>
      <c r="Q28" s="12"/>
      <c r="R28" s="12"/>
      <c r="S28" s="12"/>
      <c r="T28" s="12"/>
      <c r="U28" s="14">
        <f t="shared" si="2"/>
        <v>0</v>
      </c>
      <c r="V28" s="14">
        <f t="shared" si="3"/>
        <v>0</v>
      </c>
      <c r="W28" s="14">
        <f t="shared" si="4"/>
        <v>0</v>
      </c>
    </row>
    <row r="29" ht="24.0" customHeight="1">
      <c r="A29" s="12" t="s">
        <v>103</v>
      </c>
      <c r="B29" s="12" t="s">
        <v>104</v>
      </c>
      <c r="C29" s="12" t="s">
        <v>105</v>
      </c>
      <c r="D29" s="13">
        <f>iferror(sumif(E29:T29,"&lt;&gt;")/sumif(E29:T29,"&lt;&gt;",E3:T3),"")</f>
        <v>0.875</v>
      </c>
      <c r="E29" s="12">
        <v>100.0</v>
      </c>
      <c r="F29" s="12">
        <v>60.0</v>
      </c>
      <c r="G29" s="12">
        <v>63.0</v>
      </c>
      <c r="H29" s="12">
        <v>78.0</v>
      </c>
      <c r="I29" s="12"/>
      <c r="J29" s="12">
        <v>100.0</v>
      </c>
      <c r="K29" s="12">
        <v>95.0</v>
      </c>
      <c r="L29" s="12">
        <v>98.0</v>
      </c>
      <c r="M29" s="12">
        <v>93.0</v>
      </c>
      <c r="N29" s="12"/>
      <c r="O29" s="12"/>
      <c r="P29" s="12">
        <v>97.0</v>
      </c>
      <c r="Q29" s="12">
        <v>94.0</v>
      </c>
      <c r="R29" s="12">
        <v>100.0</v>
      </c>
      <c r="S29" s="12"/>
      <c r="T29" s="12">
        <v>72.0</v>
      </c>
      <c r="U29" s="14">
        <f t="shared" si="2"/>
        <v>72.6</v>
      </c>
      <c r="V29" s="14">
        <f t="shared" si="3"/>
        <v>70.5</v>
      </c>
      <c r="W29" s="14">
        <f t="shared" si="4"/>
        <v>70.92</v>
      </c>
    </row>
    <row r="30" ht="24.0" customHeight="1">
      <c r="A30" s="12" t="s">
        <v>106</v>
      </c>
      <c r="B30" s="12" t="s">
        <v>107</v>
      </c>
      <c r="C30" s="12" t="s">
        <v>108</v>
      </c>
      <c r="D30" s="13">
        <f>iferror(sumif(E30:T30,"&lt;&gt;")/sumif(E30:T30,"&lt;&gt;",E3:T3),"")</f>
        <v>0.8407692308</v>
      </c>
      <c r="E30" s="12">
        <v>62.0</v>
      </c>
      <c r="F30" s="12">
        <v>80.0</v>
      </c>
      <c r="G30" s="12">
        <v>53.0</v>
      </c>
      <c r="H30" s="12">
        <v>86.0</v>
      </c>
      <c r="I30" s="12"/>
      <c r="J30" s="12">
        <v>88.0</v>
      </c>
      <c r="K30" s="12">
        <v>55.0</v>
      </c>
      <c r="L30" s="12">
        <v>98.0</v>
      </c>
      <c r="M30" s="12">
        <v>91.0</v>
      </c>
      <c r="N30" s="12"/>
      <c r="O30" s="12"/>
      <c r="P30" s="12">
        <v>88.0</v>
      </c>
      <c r="Q30" s="12">
        <v>97.0</v>
      </c>
      <c r="R30" s="12">
        <v>100.0</v>
      </c>
      <c r="S30" s="12">
        <v>95.0</v>
      </c>
      <c r="T30" s="12">
        <v>100.0</v>
      </c>
      <c r="U30" s="14">
        <f t="shared" si="2"/>
        <v>96</v>
      </c>
      <c r="V30" s="14">
        <f t="shared" si="3"/>
        <v>69.5</v>
      </c>
      <c r="W30" s="14">
        <f t="shared" si="4"/>
        <v>74.8</v>
      </c>
    </row>
    <row r="31" ht="24.0" customHeight="1">
      <c r="A31" s="12" t="s">
        <v>109</v>
      </c>
      <c r="B31" s="12" t="s">
        <v>110</v>
      </c>
      <c r="C31" s="12" t="s">
        <v>111</v>
      </c>
      <c r="D31" s="13">
        <f>iferror(sumif(E31:T31,"&lt;&gt;")/sumif(E31:T31,"&lt;&gt;",E3:T3),"")</f>
        <v>0.8366666667</v>
      </c>
      <c r="E31" s="12">
        <v>60.0</v>
      </c>
      <c r="F31" s="12">
        <v>80.0</v>
      </c>
      <c r="G31" s="12">
        <v>58.0</v>
      </c>
      <c r="H31" s="12">
        <v>82.0</v>
      </c>
      <c r="I31" s="12"/>
      <c r="J31" s="12">
        <v>88.0</v>
      </c>
      <c r="K31" s="12"/>
      <c r="L31" s="12">
        <v>57.0</v>
      </c>
      <c r="M31" s="12">
        <v>92.0</v>
      </c>
      <c r="N31" s="12"/>
      <c r="O31" s="12"/>
      <c r="P31" s="12">
        <v>94.0</v>
      </c>
      <c r="Q31" s="12">
        <v>98.0</v>
      </c>
      <c r="R31" s="12">
        <v>100.0</v>
      </c>
      <c r="S31" s="12">
        <v>95.0</v>
      </c>
      <c r="T31" s="12">
        <v>100.0</v>
      </c>
      <c r="U31" s="14">
        <f t="shared" si="2"/>
        <v>97.4</v>
      </c>
      <c r="V31" s="14">
        <f t="shared" si="3"/>
        <v>70</v>
      </c>
      <c r="W31" s="14">
        <f t="shared" si="4"/>
        <v>75.48</v>
      </c>
    </row>
    <row r="32" ht="24.0" customHeight="1">
      <c r="A32" s="12" t="s">
        <v>112</v>
      </c>
      <c r="B32" s="12" t="s">
        <v>113</v>
      </c>
      <c r="C32" s="12" t="s">
        <v>114</v>
      </c>
      <c r="D32" s="13">
        <f>iferror(sumif(E32:T32,"&lt;&gt;")/sumif(E32:T32,"&lt;&gt;",E3:T3),"")</f>
        <v>0.7666666667</v>
      </c>
      <c r="E32" s="12">
        <v>100.0</v>
      </c>
      <c r="F32" s="12">
        <v>45.0</v>
      </c>
      <c r="G32" s="12">
        <v>25.0</v>
      </c>
      <c r="H32" s="12"/>
      <c r="I32" s="12"/>
      <c r="J32" s="12">
        <v>96.0</v>
      </c>
      <c r="K32" s="12">
        <v>97.0</v>
      </c>
      <c r="L32" s="12">
        <v>97.0</v>
      </c>
      <c r="M32" s="12"/>
      <c r="N32" s="12"/>
      <c r="O32" s="12"/>
      <c r="P32" s="12"/>
      <c r="Q32" s="12"/>
      <c r="R32" s="12"/>
      <c r="S32" s="12"/>
      <c r="T32" s="12"/>
      <c r="U32" s="14">
        <f t="shared" si="2"/>
        <v>0</v>
      </c>
      <c r="V32" s="14">
        <f t="shared" si="3"/>
        <v>12.5</v>
      </c>
      <c r="W32" s="14">
        <f t="shared" si="4"/>
        <v>10</v>
      </c>
    </row>
    <row r="33" ht="24.0" customHeight="1">
      <c r="A33" s="12" t="s">
        <v>115</v>
      </c>
      <c r="B33" s="12" t="s">
        <v>116</v>
      </c>
      <c r="C33" s="12" t="s">
        <v>117</v>
      </c>
      <c r="D33" s="13">
        <f>iferror(sumif(E33:T33,"&lt;&gt;")/sumif(E33:T33,"&lt;&gt;",E3:T3),"")</f>
        <v>0.7133333333</v>
      </c>
      <c r="E33" s="12">
        <v>47.0</v>
      </c>
      <c r="F33" s="12">
        <v>70.0</v>
      </c>
      <c r="G33" s="12">
        <v>18.0</v>
      </c>
      <c r="H33" s="12"/>
      <c r="I33" s="12"/>
      <c r="J33" s="12">
        <v>87.0</v>
      </c>
      <c r="K33" s="12">
        <v>95.0</v>
      </c>
      <c r="L33" s="12"/>
      <c r="M33" s="12">
        <v>99.0</v>
      </c>
      <c r="N33" s="12"/>
      <c r="O33" s="12"/>
      <c r="P33" s="12">
        <v>50.0</v>
      </c>
      <c r="Q33" s="12">
        <v>86.0</v>
      </c>
      <c r="R33" s="12">
        <v>90.0</v>
      </c>
      <c r="S33" s="12"/>
      <c r="T33" s="12"/>
      <c r="U33" s="14">
        <f t="shared" si="2"/>
        <v>45.2</v>
      </c>
      <c r="V33" s="14">
        <f t="shared" si="3"/>
        <v>9</v>
      </c>
      <c r="W33" s="14">
        <f t="shared" si="4"/>
        <v>16.24</v>
      </c>
    </row>
    <row r="34" ht="24.0" customHeight="1">
      <c r="A34" s="12" t="s">
        <v>118</v>
      </c>
      <c r="B34" s="12" t="s">
        <v>119</v>
      </c>
      <c r="C34" s="12" t="s">
        <v>120</v>
      </c>
      <c r="D34" s="13">
        <f>iferror(sumif(E34:T34,"&lt;&gt;")/sumif(E34:T34,"&lt;&gt;",E3:T3),"")</f>
        <v>0.7215384615</v>
      </c>
      <c r="E34" s="12">
        <v>62.0</v>
      </c>
      <c r="F34" s="12">
        <v>70.0</v>
      </c>
      <c r="G34" s="12">
        <v>20.0</v>
      </c>
      <c r="H34" s="12">
        <v>71.0</v>
      </c>
      <c r="I34" s="12"/>
      <c r="J34" s="12">
        <v>54.0</v>
      </c>
      <c r="K34" s="12">
        <v>75.0</v>
      </c>
      <c r="L34" s="12">
        <v>77.0</v>
      </c>
      <c r="M34" s="12">
        <v>93.0</v>
      </c>
      <c r="N34" s="12"/>
      <c r="O34" s="12"/>
      <c r="P34" s="12">
        <v>95.0</v>
      </c>
      <c r="Q34" s="12">
        <v>76.0</v>
      </c>
      <c r="R34" s="12">
        <v>100.0</v>
      </c>
      <c r="S34" s="12">
        <v>95.0</v>
      </c>
      <c r="T34" s="12">
        <v>50.0</v>
      </c>
      <c r="U34" s="14">
        <f t="shared" si="2"/>
        <v>83.2</v>
      </c>
      <c r="V34" s="14">
        <f t="shared" si="3"/>
        <v>45.5</v>
      </c>
      <c r="W34" s="14">
        <f t="shared" si="4"/>
        <v>53.04</v>
      </c>
    </row>
    <row r="35" ht="24.0" customHeight="1">
      <c r="A35" s="12" t="s">
        <v>121</v>
      </c>
      <c r="B35" s="12" t="s">
        <v>122</v>
      </c>
      <c r="C35" s="12" t="s">
        <v>123</v>
      </c>
      <c r="D35" s="13">
        <f>iferror(sumif(E35:T35,"&lt;&gt;")/sumif(E35:T35,"&lt;&gt;",E3:T3),"")</f>
        <v>0.7453846154</v>
      </c>
      <c r="E35" s="12">
        <v>50.0</v>
      </c>
      <c r="F35" s="12">
        <v>70.0</v>
      </c>
      <c r="G35" s="12">
        <v>51.0</v>
      </c>
      <c r="H35" s="12">
        <v>59.0</v>
      </c>
      <c r="I35" s="12"/>
      <c r="J35" s="12">
        <v>92.0</v>
      </c>
      <c r="K35" s="12">
        <v>90.0</v>
      </c>
      <c r="L35" s="12">
        <v>84.0</v>
      </c>
      <c r="M35" s="12">
        <v>70.0</v>
      </c>
      <c r="N35" s="12"/>
      <c r="O35" s="12"/>
      <c r="P35" s="12">
        <v>53.0</v>
      </c>
      <c r="Q35" s="12">
        <v>70.0</v>
      </c>
      <c r="R35" s="12">
        <v>100.0</v>
      </c>
      <c r="S35" s="12">
        <v>80.0</v>
      </c>
      <c r="T35" s="15">
        <v>100.0</v>
      </c>
      <c r="U35" s="14">
        <f t="shared" si="2"/>
        <v>80.6</v>
      </c>
      <c r="V35" s="14">
        <f t="shared" si="3"/>
        <v>55</v>
      </c>
      <c r="W35" s="14">
        <f t="shared" si="4"/>
        <v>60.12</v>
      </c>
    </row>
    <row r="36" ht="24.0" customHeight="1">
      <c r="A36" s="12" t="s">
        <v>124</v>
      </c>
      <c r="B36" s="12" t="s">
        <v>125</v>
      </c>
      <c r="C36" s="12" t="s">
        <v>126</v>
      </c>
      <c r="D36" s="13">
        <f>iferror(sumif(E36:T36,"&lt;&gt;")/sumif(E36:T36,"&lt;&gt;",E3:T3),"")</f>
        <v>0.8133333333</v>
      </c>
      <c r="E36" s="12">
        <v>70.0</v>
      </c>
      <c r="F36" s="12">
        <v>60.0</v>
      </c>
      <c r="G36" s="12">
        <v>66.0</v>
      </c>
      <c r="H36" s="12">
        <v>76.0</v>
      </c>
      <c r="I36" s="12"/>
      <c r="J36" s="12"/>
      <c r="K36" s="12">
        <v>70.0</v>
      </c>
      <c r="L36" s="12">
        <v>95.0</v>
      </c>
      <c r="M36" s="12">
        <v>85.0</v>
      </c>
      <c r="N36" s="12"/>
      <c r="O36" s="12"/>
      <c r="P36" s="12">
        <v>92.0</v>
      </c>
      <c r="Q36" s="12">
        <v>82.0</v>
      </c>
      <c r="R36" s="12">
        <v>80.0</v>
      </c>
      <c r="S36" s="12">
        <v>100.0</v>
      </c>
      <c r="T36" s="12">
        <v>100.0</v>
      </c>
      <c r="U36" s="14">
        <f t="shared" si="2"/>
        <v>90.8</v>
      </c>
      <c r="V36" s="14">
        <f t="shared" si="3"/>
        <v>71</v>
      </c>
      <c r="W36" s="14">
        <f t="shared" si="4"/>
        <v>74.96</v>
      </c>
    </row>
    <row r="37" ht="24.0" customHeight="1">
      <c r="A37" s="12" t="s">
        <v>127</v>
      </c>
      <c r="B37" s="12" t="s">
        <v>128</v>
      </c>
      <c r="C37" s="12" t="s">
        <v>129</v>
      </c>
      <c r="D37" s="13">
        <f>iferror(sumif(E37:T37,"&lt;&gt;")/sumif(E37:T37,"&lt;&gt;",E3:T3),"")</f>
        <v>0.69</v>
      </c>
      <c r="E37" s="12">
        <v>45.0</v>
      </c>
      <c r="F37" s="12">
        <v>60.0</v>
      </c>
      <c r="G37" s="12">
        <v>47.0</v>
      </c>
      <c r="H37" s="12">
        <v>40.0</v>
      </c>
      <c r="I37" s="12"/>
      <c r="J37" s="12">
        <v>70.0</v>
      </c>
      <c r="K37" s="12">
        <v>95.0</v>
      </c>
      <c r="L37" s="12"/>
      <c r="M37" s="12"/>
      <c r="N37" s="12"/>
      <c r="O37" s="12"/>
      <c r="P37" s="12"/>
      <c r="Q37" s="12">
        <v>95.0</v>
      </c>
      <c r="R37" s="12">
        <v>100.0</v>
      </c>
      <c r="S37" s="12"/>
      <c r="T37" s="12"/>
      <c r="U37" s="14">
        <f t="shared" si="2"/>
        <v>39</v>
      </c>
      <c r="V37" s="14">
        <f t="shared" si="3"/>
        <v>43.5</v>
      </c>
      <c r="W37" s="14">
        <f t="shared" si="4"/>
        <v>42.6</v>
      </c>
    </row>
    <row r="38" ht="24.0" customHeight="1">
      <c r="A38" s="12" t="s">
        <v>130</v>
      </c>
      <c r="B38" s="12" t="s">
        <v>131</v>
      </c>
      <c r="C38" s="12" t="s">
        <v>132</v>
      </c>
      <c r="D38" s="13">
        <f>iferror(sumif(E38:T38,"&lt;&gt;")/sumif(E38:T38,"&lt;&gt;",E3:T3),"")</f>
        <v>0.3966666667</v>
      </c>
      <c r="E38" s="12">
        <v>53.0</v>
      </c>
      <c r="F38" s="12"/>
      <c r="G38" s="12">
        <v>20.0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46.0</v>
      </c>
      <c r="R38" s="12"/>
      <c r="S38" s="12"/>
      <c r="T38" s="12"/>
      <c r="U38" s="14">
        <f t="shared" si="2"/>
        <v>9.2</v>
      </c>
      <c r="V38" s="14">
        <f t="shared" si="3"/>
        <v>10</v>
      </c>
      <c r="W38" s="14">
        <f t="shared" si="4"/>
        <v>9.84</v>
      </c>
    </row>
    <row r="39" ht="24.0" customHeight="1">
      <c r="A39" s="12" t="s">
        <v>133</v>
      </c>
      <c r="B39" s="12" t="s">
        <v>134</v>
      </c>
      <c r="C39" s="12" t="s">
        <v>135</v>
      </c>
      <c r="D39" s="13" t="str">
        <f>iferror(sumif(E39:T39,"&lt;&gt;")/sumif(E39:T39,"&lt;&gt;",E3:T3),"")</f>
        <v/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4">
        <f t="shared" si="2"/>
        <v>0</v>
      </c>
      <c r="V39" s="14">
        <f t="shared" si="3"/>
        <v>0</v>
      </c>
      <c r="W39" s="14">
        <f t="shared" si="4"/>
        <v>0</v>
      </c>
    </row>
    <row r="40" ht="24.0" customHeight="1">
      <c r="A40" s="12" t="s">
        <v>136</v>
      </c>
      <c r="B40" s="12" t="s">
        <v>137</v>
      </c>
      <c r="C40" s="12" t="s">
        <v>138</v>
      </c>
      <c r="D40" s="13">
        <f>iferror(sumif(E40:T40,"&lt;&gt;")/sumif(E40:T40,"&lt;&gt;",E3:T3),"")</f>
        <v>0.5316666667</v>
      </c>
      <c r="E40" s="12">
        <v>42.0</v>
      </c>
      <c r="F40" s="12">
        <v>27.0</v>
      </c>
      <c r="G40" s="12">
        <v>17.0</v>
      </c>
      <c r="H40" s="12"/>
      <c r="I40" s="12"/>
      <c r="J40" s="12"/>
      <c r="K40" s="12">
        <v>85.0</v>
      </c>
      <c r="L40" s="12">
        <v>98.0</v>
      </c>
      <c r="M40" s="12"/>
      <c r="N40" s="12"/>
      <c r="O40" s="12"/>
      <c r="P40" s="12">
        <v>50.0</v>
      </c>
      <c r="Q40" s="12"/>
      <c r="R40" s="12"/>
      <c r="S40" s="12"/>
      <c r="T40" s="12"/>
      <c r="U40" s="14">
        <f t="shared" si="2"/>
        <v>10</v>
      </c>
      <c r="V40" s="14">
        <f t="shared" si="3"/>
        <v>8.5</v>
      </c>
      <c r="W40" s="14">
        <f t="shared" si="4"/>
        <v>8.8</v>
      </c>
    </row>
    <row r="41" ht="24.0" customHeight="1">
      <c r="A41" s="12" t="s">
        <v>139</v>
      </c>
      <c r="B41" s="12" t="s">
        <v>140</v>
      </c>
      <c r="C41" s="12" t="s">
        <v>141</v>
      </c>
      <c r="D41" s="13">
        <f>iferror(sumif(E41:T41,"&lt;&gt;")/sumif(E41:T41,"&lt;&gt;",E3:T3),"")</f>
        <v>0.8707692308</v>
      </c>
      <c r="E41" s="12">
        <v>90.0</v>
      </c>
      <c r="F41" s="12">
        <v>80.0</v>
      </c>
      <c r="G41" s="12">
        <v>61.0</v>
      </c>
      <c r="H41" s="12">
        <v>81.0</v>
      </c>
      <c r="I41" s="12"/>
      <c r="J41" s="12">
        <v>97.0</v>
      </c>
      <c r="K41" s="12">
        <v>80.0</v>
      </c>
      <c r="L41" s="12">
        <v>89.0</v>
      </c>
      <c r="M41" s="12">
        <v>90.0</v>
      </c>
      <c r="N41" s="12"/>
      <c r="O41" s="12"/>
      <c r="P41" s="12">
        <v>84.0</v>
      </c>
      <c r="Q41" s="12">
        <v>90.0</v>
      </c>
      <c r="R41" s="12">
        <v>100.0</v>
      </c>
      <c r="S41" s="12">
        <v>100.0</v>
      </c>
      <c r="T41" s="12">
        <v>90.0</v>
      </c>
      <c r="U41" s="14">
        <f t="shared" si="2"/>
        <v>92.8</v>
      </c>
      <c r="V41" s="14">
        <f t="shared" si="3"/>
        <v>71</v>
      </c>
      <c r="W41" s="14">
        <f t="shared" si="4"/>
        <v>75.36</v>
      </c>
    </row>
    <row r="42" ht="24.0" customHeight="1">
      <c r="A42" s="12" t="s">
        <v>142</v>
      </c>
      <c r="B42" s="12" t="s">
        <v>143</v>
      </c>
      <c r="C42" s="12" t="s">
        <v>144</v>
      </c>
      <c r="D42" s="13">
        <f>iferror(sumif(E42:T42,"&lt;&gt;")/sumif(E42:T42,"&lt;&gt;",E3:T3),"")</f>
        <v>0.6125</v>
      </c>
      <c r="E42" s="12">
        <v>0.0</v>
      </c>
      <c r="F42" s="12">
        <v>60.0</v>
      </c>
      <c r="G42" s="12"/>
      <c r="H42" s="12"/>
      <c r="I42" s="12"/>
      <c r="J42" s="12"/>
      <c r="K42" s="12">
        <v>85.0</v>
      </c>
      <c r="L42" s="12">
        <v>100.0</v>
      </c>
      <c r="M42" s="12"/>
      <c r="N42" s="12"/>
      <c r="O42" s="12"/>
      <c r="P42" s="12"/>
      <c r="Q42" s="12"/>
      <c r="R42" s="12"/>
      <c r="S42" s="12"/>
      <c r="T42" s="12"/>
      <c r="U42" s="14">
        <f t="shared" si="2"/>
        <v>0</v>
      </c>
      <c r="V42" s="14">
        <f t="shared" si="3"/>
        <v>0</v>
      </c>
      <c r="W42" s="14">
        <f t="shared" si="4"/>
        <v>0</v>
      </c>
    </row>
    <row r="43" ht="24.0" customHeight="1">
      <c r="A43" s="12" t="s">
        <v>145</v>
      </c>
      <c r="B43" s="12" t="s">
        <v>146</v>
      </c>
      <c r="C43" s="12" t="s">
        <v>147</v>
      </c>
      <c r="D43" s="13">
        <f>iferror(sumif(E43:T43,"&lt;&gt;")/sumif(E43:T43,"&lt;&gt;",E3:T3),"")</f>
        <v>0.9592307692</v>
      </c>
      <c r="E43" s="12">
        <v>100.0</v>
      </c>
      <c r="F43" s="12">
        <v>100.0</v>
      </c>
      <c r="G43" s="12">
        <v>65.0</v>
      </c>
      <c r="H43" s="12">
        <v>90.0</v>
      </c>
      <c r="I43" s="12"/>
      <c r="J43" s="12">
        <v>100.0</v>
      </c>
      <c r="K43" s="12">
        <v>100.0</v>
      </c>
      <c r="L43" s="12">
        <v>100.0</v>
      </c>
      <c r="M43" s="12">
        <v>100.0</v>
      </c>
      <c r="N43" s="12"/>
      <c r="O43" s="12"/>
      <c r="P43" s="12">
        <v>92.0</v>
      </c>
      <c r="Q43" s="12">
        <v>100.0</v>
      </c>
      <c r="R43" s="12">
        <v>100.0</v>
      </c>
      <c r="S43" s="12">
        <v>100.0</v>
      </c>
      <c r="T43" s="12">
        <v>100.0</v>
      </c>
      <c r="U43" s="14">
        <f t="shared" si="2"/>
        <v>98.4</v>
      </c>
      <c r="V43" s="14">
        <f t="shared" si="3"/>
        <v>77.5</v>
      </c>
      <c r="W43" s="14">
        <f t="shared" si="4"/>
        <v>81.68</v>
      </c>
    </row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