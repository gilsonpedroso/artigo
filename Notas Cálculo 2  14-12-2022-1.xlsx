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<sst xmlns="http://schemas.openxmlformats.org/spreadsheetml/2006/main" count="129" uniqueCount="96">
  <si>
    <t>Cálculo 2</t>
  </si>
  <si>
    <t/>
  </si>
  <si>
    <t>26 de ago.</t>
  </si>
  <si>
    <t>02 de set.</t>
  </si>
  <si>
    <t>16 de set.</t>
  </si>
  <si>
    <t>23 de set.</t>
  </si>
  <si>
    <t>30 de set.</t>
  </si>
  <si>
    <t>17 de out.</t>
  </si>
  <si>
    <t>28 de out.</t>
  </si>
  <si>
    <t>04 de nov.</t>
  </si>
  <si>
    <t>25 de nov.</t>
  </si>
  <si>
    <t>09 de dez.</t>
  </si>
  <si>
    <t>prova 1</t>
  </si>
  <si>
    <t>prova 2</t>
  </si>
  <si>
    <t>prova 3</t>
  </si>
  <si>
    <t>prova 4</t>
  </si>
  <si>
    <t>lista 1</t>
  </si>
  <si>
    <t xml:space="preserve">lista 2 </t>
  </si>
  <si>
    <t>lista 3</t>
  </si>
  <si>
    <t>lista 4</t>
  </si>
  <si>
    <t>lista 5</t>
  </si>
  <si>
    <t>lista 6</t>
  </si>
  <si>
    <t>lista 7</t>
  </si>
  <si>
    <t>lista 8</t>
  </si>
  <si>
    <t>lista 9</t>
  </si>
  <si>
    <t>lista 10</t>
  </si>
  <si>
    <t>Média da turma</t>
  </si>
  <si>
    <t xml:space="preserve">medio lista </t>
  </si>
  <si>
    <t>medio prova</t>
  </si>
  <si>
    <t>ab2</t>
  </si>
  <si>
    <t>SILVA GOMES</t>
  </si>
  <si>
    <t xml:space="preserve"> GUILHERME OLIVEIRA </t>
  </si>
  <si>
    <t>gosg@ic.ufal.br</t>
  </si>
  <si>
    <t xml:space="preserve"> BIGGI DE SOUZA CAVALCANTE</t>
  </si>
  <si>
    <t xml:space="preserve"> LEILA MARIA</t>
  </si>
  <si>
    <t>lmbsc@ic.ufal.br</t>
  </si>
  <si>
    <t>PAZ MONTEIRO</t>
  </si>
  <si>
    <t xml:space="preserve">ALBERT JOSE </t>
  </si>
  <si>
    <t>ajpm@ic.ufal.br</t>
  </si>
  <si>
    <t>dos Santos Mesquita</t>
  </si>
  <si>
    <t xml:space="preserve">Adeilton </t>
  </si>
  <si>
    <t>asm4@ic.ufal.br</t>
  </si>
  <si>
    <t>Padilha Dantas Valões da Rocha</t>
  </si>
  <si>
    <t>Arthur</t>
  </si>
  <si>
    <t>apdvr@ic.ufal.br</t>
  </si>
  <si>
    <t>Aranha Padilha Cardoso</t>
  </si>
  <si>
    <t xml:space="preserve">César </t>
  </si>
  <si>
    <t>capc@ic.ufal.br</t>
  </si>
  <si>
    <t>Correia Lopes dos Santos</t>
  </si>
  <si>
    <t xml:space="preserve">Elvis </t>
  </si>
  <si>
    <t>ecls@ic.ufal.br</t>
  </si>
  <si>
    <t>Ormindo Braz Júnior</t>
  </si>
  <si>
    <t>Evaldo</t>
  </si>
  <si>
    <t>eobj@ic.ufal.br</t>
  </si>
  <si>
    <t xml:space="preserve">Fernandes de Albuquerque	</t>
  </si>
  <si>
    <t xml:space="preserve">Eyse Cristina </t>
  </si>
  <si>
    <t>ecfa@ic.ufal.br</t>
  </si>
  <si>
    <t xml:space="preserve">Nunes Alves	</t>
  </si>
  <si>
    <t xml:space="preserve">Guilherme </t>
  </si>
  <si>
    <t>gna@ic.ufal.br</t>
  </si>
  <si>
    <t>de Lima Gomes</t>
  </si>
  <si>
    <t>Higor</t>
  </si>
  <si>
    <t>hlg@ic.ufal.br</t>
  </si>
  <si>
    <t xml:space="preserve"> LIMA LEAO</t>
  </si>
  <si>
    <t>JACKSON BRUNO</t>
  </si>
  <si>
    <t>jbll@ic.ufal.br</t>
  </si>
  <si>
    <t>Oliveira da Silva</t>
  </si>
  <si>
    <t>Jonatha</t>
  </si>
  <si>
    <t>jos2@ic.ufal.br</t>
  </si>
  <si>
    <t>Guimarães Beelen</t>
  </si>
  <si>
    <t xml:space="preserve">Lucas </t>
  </si>
  <si>
    <t>lucasgb@ic.ufal.br</t>
  </si>
  <si>
    <t>SIMPLICIO DO NASCIMENTO NETO</t>
  </si>
  <si>
    <t xml:space="preserve">MANOEL </t>
  </si>
  <si>
    <t>msnn@ic.ufal.br</t>
  </si>
  <si>
    <t>Antônia</t>
  </si>
  <si>
    <t>Maria</t>
  </si>
  <si>
    <t>marr@ic.ufal.br</t>
  </si>
  <si>
    <t xml:space="preserve">Provatti Gomes	</t>
  </si>
  <si>
    <t xml:space="preserve">Nícollas </t>
  </si>
  <si>
    <t>npg@ic.ufal.br</t>
  </si>
  <si>
    <t>DE MELO BULHOES</t>
  </si>
  <si>
    <t xml:space="preserve">PEDRO HENRIQUE </t>
  </si>
  <si>
    <t>phmb@ic.ufal.br</t>
  </si>
  <si>
    <t>S</t>
  </si>
  <si>
    <t>Paulo Roberto</t>
  </si>
  <si>
    <t>prms@ic.ufal.br</t>
  </si>
  <si>
    <t>Alves</t>
  </si>
  <si>
    <t>Renalvo</t>
  </si>
  <si>
    <t>rafj@ic.ufal.br</t>
  </si>
  <si>
    <t>Lemos Pereira</t>
  </si>
  <si>
    <t>Rita de Kassia</t>
  </si>
  <si>
    <t>rklp@ic.ufal.br</t>
  </si>
  <si>
    <t>Barbosa do Nascimento</t>
  </si>
  <si>
    <t xml:space="preserve">Vinícius </t>
  </si>
  <si>
    <t>vbn@ic.ufal.br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</si>
</sst>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0.0#%"/>
    <numFmt numFmtId="165" formatCode="0.0#"/>
  </numFmts>
  <fonts count="11">
    <font>
      <sz val="11.0"/>
      <color rgb="FF000000"/>
      <name val="Calibri"/>
      <scheme val="minor"/>
    </font>
    <font>
      <b/>
      <sz val="14.0"/>
      <color rgb="FFFFFFFF"/>
      <name val="Roboto"/>
    </font>
    <font>
      <sz val="10.0"/>
      <color rgb="FFFFFFFF"/>
      <name val="Roboto"/>
    </font>
    <font>
      <sz val="14.0"/>
      <color rgb="FFFFFFFF"/>
      <name val="Roboto"/>
    </font>
    <font>
      <b/>
      <sz val="10.0"/>
      <color rgb="FFFFFFFF"/>
      <name val="Roboto"/>
    </font>
    <font>
      <u/>
      <sz val="10.0"/>
      <color rgb="FFFFFFFF"/>
      <name val="Arial"/>
    </font>
    <font>
      <sz val="10.0"/>
      <color rgb="FFFFFFFF"/>
      <name val="Arial"/>
    </font>
    <font>
      <b/>
      <sz val="10.0"/>
      <color theme="1"/>
      <name val="Roboto"/>
    </font>
    <font>
      <sz val="10.0"/>
      <color rgb="FF808080"/>
      <name val="Roboto"/>
    </font>
    <font>
      <sz val="10.0"/>
      <color theme="1"/>
      <name val="Roboto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F6368"/>
        <bgColor rgb="FF5F6368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</fills>
  <borders count="3">
    <border/>
    <border>
      <left style="thin">
        <color rgb="FF5F6368"/>
      </left>
      <right style="thin">
        <color rgb="FF5F6368"/>
      </right>
      <top style="thin">
        <color rgb="FF5F6368"/>
      </top>
      <bottom style="thin">
        <color rgb="FF5F6368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2" fillId="3" fontId="2" numFmtId="0" xfId="0" applyAlignment="1" applyBorder="1" applyFill="1" applyFont="1">
      <alignment horizontal="left" shrinkToFit="0" vertical="center" wrapText="1"/>
    </xf>
    <xf borderId="2" fillId="4" fontId="7" numFmtId="0" xfId="0" applyAlignment="1" applyBorder="1" applyFill="1" applyFont="1">
      <alignment horizontal="left" vertical="center"/>
    </xf>
    <xf borderId="2" fillId="4" fontId="8" numFmtId="164" xfId="0" applyAlignment="1" applyBorder="1" applyFont="1" applyNumberFormat="1">
      <alignment horizontal="left" vertical="center"/>
    </xf>
    <xf borderId="2" fillId="4" fontId="9" numFmtId="165" xfId="0" applyAlignment="1" applyBorder="1" applyFont="1" applyNumberFormat="1">
      <alignment horizontal="left" vertical="center"/>
    </xf>
    <xf borderId="0" fillId="0" fontId="10" numFmtId="0" xfId="0" applyAlignment="1" applyFont="1">
      <alignment readingOrder="0"/>
    </xf>
    <xf borderId="0" fillId="0" fontId="9" numFmtId="0" xfId="0" applyAlignment="1" applyFont="1">
      <alignment horizontal="left" vertical="center"/>
    </xf>
    <xf borderId="0" fillId="0" fontId="8" numFmtId="164" xfId="0" applyAlignment="1" applyFont="1" applyNumberFormat="1">
      <alignment horizontal="left" vertical="center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3" width="16.0"/>
    <col customWidth="1" min="4" max="4" width="8.0"/>
    <col customWidth="1" min="5" max="18" width="16.0"/>
    <col customWidth="1" min="19" max="19" width="8.71"/>
    <col customWidth="1" min="20" max="20" width="2.0"/>
    <col customWidth="1" min="21" max="26" width="8.71"/>
  </cols>
  <sheetData>
    <row r="1" ht="24.0" customHeight="1">
      <c r="A1" s="1" t="s">
        <v>0</v>
      </c>
      <c r="B1" s="1" t="s">
        <v>1</v>
      </c>
      <c r="C1" s="1" t="s">
        <v>1</v>
      </c>
      <c r="D1" s="1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</row>
    <row r="2" ht="24.0" customHeight="1">
      <c r="A2" s="3" t="s">
        <v>1</v>
      </c>
      <c r="B2" s="3" t="s">
        <v>1</v>
      </c>
      <c r="C2" s="3" t="s">
        <v>1</v>
      </c>
      <c r="D2" s="3" t="s">
        <v>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</row>
    <row r="3" ht="24.0" customHeight="1">
      <c r="A3" s="5" t="str">
        <f>hyperlink("https://classroom.google.com/c/NTM4NTg3MDc3MTgz", upper("Abrir sala de aula"))</f>
        <v>ABRIR SALA DE AULA</v>
      </c>
      <c r="B3" s="6" t="s">
        <v>1</v>
      </c>
      <c r="C3" s="6" t="s">
        <v>1</v>
      </c>
      <c r="D3" s="6" t="s">
        <v>1</v>
      </c>
      <c r="E3" s="2">
        <v>100.0</v>
      </c>
      <c r="F3" s="2">
        <v>100.0</v>
      </c>
      <c r="G3" s="2">
        <v>100.0</v>
      </c>
      <c r="H3" s="2">
        <v>100.0</v>
      </c>
      <c r="I3" s="2">
        <v>100.0</v>
      </c>
      <c r="J3" s="2">
        <v>100.0</v>
      </c>
      <c r="K3" s="2">
        <v>100.0</v>
      </c>
      <c r="L3" s="2">
        <v>100.0</v>
      </c>
      <c r="M3" s="2">
        <v>100.0</v>
      </c>
      <c r="N3" s="2">
        <v>100.0</v>
      </c>
      <c r="O3" s="2">
        <v>100.0</v>
      </c>
      <c r="P3" s="2">
        <v>100.0</v>
      </c>
      <c r="Q3" s="2">
        <v>100.0</v>
      </c>
      <c r="R3" s="2">
        <v>100.0</v>
      </c>
    </row>
    <row r="4" ht="24.0" customHeight="1">
      <c r="A4" s="7" t="s">
        <v>1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7" t="s">
        <v>1</v>
      </c>
      <c r="M4" s="7" t="s">
        <v>1</v>
      </c>
      <c r="N4" s="7" t="s">
        <v>1</v>
      </c>
      <c r="O4" s="7" t="s">
        <v>1</v>
      </c>
      <c r="P4" s="7" t="s">
        <v>1</v>
      </c>
      <c r="Q4" s="7" t="s">
        <v>1</v>
      </c>
      <c r="R4" s="7" t="s">
        <v>1</v>
      </c>
    </row>
    <row r="5" ht="24.0" customHeight="1">
      <c r="A5" s="8" t="s">
        <v>26</v>
      </c>
      <c r="B5" s="8" t="s">
        <v>1</v>
      </c>
      <c r="C5" s="8" t="s">
        <v>1</v>
      </c>
      <c r="D5" s="9">
        <f>iferror(sumifs(E5:R5,E5:R5,"&lt;&gt;",E4:R4,"")/sumifs(E3:R3,E5:R5,"&lt;&gt;",E4:R4,""),"")</f>
        <v>0.7023920996</v>
      </c>
      <c r="E5" s="10">
        <f t="shared" ref="E5:R5" si="1">iferror(average(E6:E27),"")</f>
        <v>40.66666667</v>
      </c>
      <c r="F5" s="10">
        <f t="shared" si="1"/>
        <v>51.08333333</v>
      </c>
      <c r="G5" s="10">
        <f t="shared" si="1"/>
        <v>32.72727273</v>
      </c>
      <c r="H5" s="10">
        <f t="shared" si="1"/>
        <v>41.9</v>
      </c>
      <c r="I5" s="10">
        <f t="shared" si="1"/>
        <v>61.53333333</v>
      </c>
      <c r="J5" s="10">
        <f t="shared" si="1"/>
        <v>83.33</v>
      </c>
      <c r="K5" s="10">
        <f t="shared" si="1"/>
        <v>69.33333333</v>
      </c>
      <c r="L5" s="10">
        <f t="shared" si="1"/>
        <v>93.5</v>
      </c>
      <c r="M5" s="10">
        <f t="shared" si="1"/>
        <v>92.5</v>
      </c>
      <c r="N5" s="10">
        <f t="shared" si="1"/>
        <v>58.875</v>
      </c>
      <c r="O5" s="10">
        <f t="shared" si="1"/>
        <v>87.5</v>
      </c>
      <c r="P5" s="10">
        <f t="shared" si="1"/>
        <v>90.4</v>
      </c>
      <c r="Q5" s="10">
        <f t="shared" si="1"/>
        <v>92.5</v>
      </c>
      <c r="R5" s="10">
        <f t="shared" si="1"/>
        <v>87.5</v>
      </c>
      <c r="S5" s="11" t="s">
        <v>27</v>
      </c>
      <c r="T5" s="11" t="s">
        <v>28</v>
      </c>
      <c r="U5" s="11" t="s">
        <v>29</v>
      </c>
    </row>
    <row r="6" ht="24.0" customHeight="1">
      <c r="A6" s="12" t="s">
        <v>30</v>
      </c>
      <c r="B6" s="12" t="s">
        <v>31</v>
      </c>
      <c r="C6" s="12" t="s">
        <v>32</v>
      </c>
      <c r="D6" s="13">
        <f>iferror(sumif(E6:R6,"&lt;&gt;")/sumif(E6:R6,"&lt;&gt;",E3:R3),"")</f>
        <v>0.5545</v>
      </c>
      <c r="E6" s="12">
        <v>24.0</v>
      </c>
      <c r="F6" s="12">
        <v>55.0</v>
      </c>
      <c r="G6" s="12">
        <v>27.0</v>
      </c>
      <c r="H6" s="12">
        <v>10.0</v>
      </c>
      <c r="I6" s="12">
        <v>62.5</v>
      </c>
      <c r="J6" s="12">
        <v>70.0</v>
      </c>
      <c r="K6" s="12">
        <v>100.0</v>
      </c>
      <c r="L6" s="12">
        <v>96.0</v>
      </c>
      <c r="M6" s="12">
        <v>70.0</v>
      </c>
      <c r="N6" s="12">
        <v>40.0</v>
      </c>
      <c r="O6" s="12"/>
      <c r="P6" s="12"/>
      <c r="Q6" s="12"/>
      <c r="R6" s="12"/>
      <c r="S6" s="14">
        <f t="shared" ref="S6:S27" si="2">(N6+O6+P6+Q6+R6)/5</f>
        <v>8</v>
      </c>
      <c r="T6" s="14">
        <f t="shared" ref="T6:T27" si="3">(G6+H6)/2</f>
        <v>18.5</v>
      </c>
      <c r="U6" s="14">
        <f t="shared" ref="U6:U27" si="4">S6*0.2+T6*0.8</f>
        <v>16.4</v>
      </c>
    </row>
    <row r="7" ht="24.0" customHeight="1">
      <c r="A7" s="12" t="s">
        <v>33</v>
      </c>
      <c r="B7" s="12" t="s">
        <v>34</v>
      </c>
      <c r="C7" s="12" t="s">
        <v>35</v>
      </c>
      <c r="D7" s="13">
        <f>iferror(sumif(E7:R7,"&lt;&gt;")/sumif(E7:R7,"&lt;&gt;",E3:R3),"")</f>
        <v>0.6285</v>
      </c>
      <c r="E7" s="12">
        <v>34.0</v>
      </c>
      <c r="F7" s="12">
        <v>70.0</v>
      </c>
      <c r="G7" s="12">
        <v>20.0</v>
      </c>
      <c r="H7" s="12">
        <v>0.0</v>
      </c>
      <c r="I7" s="12">
        <v>62.5</v>
      </c>
      <c r="J7" s="12">
        <v>97.0</v>
      </c>
      <c r="K7" s="12">
        <v>85.0</v>
      </c>
      <c r="L7" s="12">
        <v>100.0</v>
      </c>
      <c r="M7" s="12">
        <v>100.0</v>
      </c>
      <c r="N7" s="12">
        <v>60.0</v>
      </c>
      <c r="O7" s="12"/>
      <c r="P7" s="12"/>
      <c r="Q7" s="12"/>
      <c r="R7" s="12"/>
      <c r="S7" s="14">
        <f t="shared" si="2"/>
        <v>12</v>
      </c>
      <c r="T7" s="14">
        <f t="shared" si="3"/>
        <v>10</v>
      </c>
      <c r="U7" s="14">
        <f t="shared" si="4"/>
        <v>10.4</v>
      </c>
    </row>
    <row r="8" ht="24.0" customHeight="1">
      <c r="A8" s="12" t="s">
        <v>36</v>
      </c>
      <c r="B8" s="12" t="s">
        <v>37</v>
      </c>
      <c r="C8" s="12" t="s">
        <v>38</v>
      </c>
      <c r="D8" s="13">
        <f>iferror(sumif(E8:R8,"&lt;&gt;")/sumif(E8:R8,"&lt;&gt;",E3:R3),"")</f>
        <v>0.35</v>
      </c>
      <c r="E8" s="12">
        <v>35.0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4">
        <f t="shared" si="2"/>
        <v>0</v>
      </c>
      <c r="T8" s="14">
        <f t="shared" si="3"/>
        <v>0</v>
      </c>
      <c r="U8" s="14">
        <f t="shared" si="4"/>
        <v>0</v>
      </c>
    </row>
    <row r="9" ht="24.0" customHeight="1">
      <c r="A9" s="12" t="s">
        <v>39</v>
      </c>
      <c r="B9" s="12" t="s">
        <v>40</v>
      </c>
      <c r="C9" s="12" t="s">
        <v>41</v>
      </c>
      <c r="D9" s="13">
        <f>iferror(sumif(E9:R9,"&lt;&gt;")/sumif(E9:R9,"&lt;&gt;",E3:R3),"")</f>
        <v>0.4113636364</v>
      </c>
      <c r="E9" s="12">
        <v>10.0</v>
      </c>
      <c r="F9" s="12">
        <v>0.0</v>
      </c>
      <c r="G9" s="12">
        <v>5.0</v>
      </c>
      <c r="H9" s="12">
        <v>7.0</v>
      </c>
      <c r="I9" s="12">
        <v>72.5</v>
      </c>
      <c r="J9" s="12">
        <v>33.0</v>
      </c>
      <c r="K9" s="12"/>
      <c r="L9" s="12"/>
      <c r="M9" s="12"/>
      <c r="N9" s="12">
        <v>15.0</v>
      </c>
      <c r="O9" s="12">
        <v>70.0</v>
      </c>
      <c r="P9" s="12">
        <v>90.0</v>
      </c>
      <c r="Q9" s="12">
        <v>70.0</v>
      </c>
      <c r="R9" s="12">
        <v>80.0</v>
      </c>
      <c r="S9" s="14">
        <f t="shared" si="2"/>
        <v>65</v>
      </c>
      <c r="T9" s="14">
        <f t="shared" si="3"/>
        <v>6</v>
      </c>
      <c r="U9" s="14">
        <f t="shared" si="4"/>
        <v>17.8</v>
      </c>
    </row>
    <row r="10" ht="24.0" customHeight="1">
      <c r="A10" s="12" t="s">
        <v>42</v>
      </c>
      <c r="B10" s="12" t="s">
        <v>43</v>
      </c>
      <c r="C10" s="12" t="s">
        <v>44</v>
      </c>
      <c r="D10" s="13" t="str">
        <f>iferror(sumif(E10:R10,"&lt;&gt;")/sumif(E10:R10,"&lt;&gt;",E3:R3),"")</f>
        <v/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4">
        <f t="shared" si="2"/>
        <v>0</v>
      </c>
      <c r="T10" s="14">
        <f t="shared" si="3"/>
        <v>0</v>
      </c>
      <c r="U10" s="14">
        <f t="shared" si="4"/>
        <v>0</v>
      </c>
    </row>
    <row r="11" ht="24.0" customHeight="1">
      <c r="A11" s="12" t="s">
        <v>45</v>
      </c>
      <c r="B11" s="12" t="s">
        <v>46</v>
      </c>
      <c r="C11" s="12" t="s">
        <v>47</v>
      </c>
      <c r="D11" s="13">
        <f>iferror(sumif(E11:R11,"&lt;&gt;")/sumif(E11:R11,"&lt;&gt;",E3:R3),"")</f>
        <v>0.09</v>
      </c>
      <c r="E11" s="12">
        <v>4.0</v>
      </c>
      <c r="F11" s="12"/>
      <c r="G11" s="12"/>
      <c r="H11" s="12"/>
      <c r="I11" s="12"/>
      <c r="J11" s="12"/>
      <c r="K11" s="12">
        <v>14.0</v>
      </c>
      <c r="L11" s="12"/>
      <c r="M11" s="12"/>
      <c r="N11" s="12"/>
      <c r="O11" s="12"/>
      <c r="P11" s="12"/>
      <c r="Q11" s="12"/>
      <c r="R11" s="12"/>
      <c r="S11" s="14">
        <f t="shared" si="2"/>
        <v>0</v>
      </c>
      <c r="T11" s="14">
        <f t="shared" si="3"/>
        <v>0</v>
      </c>
      <c r="U11" s="14">
        <f t="shared" si="4"/>
        <v>0</v>
      </c>
    </row>
    <row r="12" ht="24.0" customHeight="1">
      <c r="A12" s="12" t="s">
        <v>48</v>
      </c>
      <c r="B12" s="12" t="s">
        <v>49</v>
      </c>
      <c r="C12" s="12" t="s">
        <v>50</v>
      </c>
      <c r="D12" s="13">
        <f>iferror(sumif(E12:R12,"&lt;&gt;")/sumif(E12:R12,"&lt;&gt;",E3:R3),"")</f>
        <v>0.402</v>
      </c>
      <c r="E12" s="12">
        <v>16.0</v>
      </c>
      <c r="F12" s="12">
        <v>0.0</v>
      </c>
      <c r="G12" s="12"/>
      <c r="H12" s="12"/>
      <c r="I12" s="12">
        <v>45.0</v>
      </c>
      <c r="J12" s="12"/>
      <c r="K12" s="12">
        <v>70.0</v>
      </c>
      <c r="L12" s="12"/>
      <c r="M12" s="12">
        <v>70.0</v>
      </c>
      <c r="N12" s="12"/>
      <c r="O12" s="12"/>
      <c r="P12" s="12"/>
      <c r="Q12" s="12"/>
      <c r="R12" s="12"/>
      <c r="S12" s="14">
        <f t="shared" si="2"/>
        <v>0</v>
      </c>
      <c r="T12" s="14">
        <f t="shared" si="3"/>
        <v>0</v>
      </c>
      <c r="U12" s="14">
        <f t="shared" si="4"/>
        <v>0</v>
      </c>
    </row>
    <row r="13" ht="24.0" customHeight="1">
      <c r="A13" s="12" t="s">
        <v>51</v>
      </c>
      <c r="B13" s="12" t="s">
        <v>52</v>
      </c>
      <c r="C13" s="12" t="s">
        <v>53</v>
      </c>
      <c r="D13" s="13">
        <f>iferror(sumif(E13:R13,"&lt;&gt;")/sumif(E13:R13,"&lt;&gt;",E3:R3),"")</f>
        <v>0.725</v>
      </c>
      <c r="E13" s="12"/>
      <c r="F13" s="12"/>
      <c r="G13" s="12"/>
      <c r="H13" s="12"/>
      <c r="I13" s="12">
        <v>72.5</v>
      </c>
      <c r="J13" s="12"/>
      <c r="K13" s="12"/>
      <c r="L13" s="12"/>
      <c r="M13" s="12"/>
      <c r="N13" s="12"/>
      <c r="O13" s="12"/>
      <c r="P13" s="12"/>
      <c r="Q13" s="12"/>
      <c r="R13" s="12"/>
      <c r="S13" s="14">
        <f t="shared" si="2"/>
        <v>0</v>
      </c>
      <c r="T13" s="14">
        <f t="shared" si="3"/>
        <v>0</v>
      </c>
      <c r="U13" s="14">
        <f t="shared" si="4"/>
        <v>0</v>
      </c>
    </row>
    <row r="14" ht="24.0" customHeight="1">
      <c r="A14" s="12" t="s">
        <v>54</v>
      </c>
      <c r="B14" s="12" t="s">
        <v>55</v>
      </c>
      <c r="C14" s="12" t="s">
        <v>56</v>
      </c>
      <c r="D14" s="13" t="str">
        <f>iferror(sumif(E14:R14,"&lt;&gt;")/sumif(E14:R14,"&lt;&gt;",E3:R3),"")</f>
        <v/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4">
        <f t="shared" si="2"/>
        <v>0</v>
      </c>
      <c r="T14" s="14">
        <f t="shared" si="3"/>
        <v>0</v>
      </c>
      <c r="U14" s="14">
        <f t="shared" si="4"/>
        <v>0</v>
      </c>
    </row>
    <row r="15" ht="24.0" customHeight="1">
      <c r="A15" s="12" t="s">
        <v>57</v>
      </c>
      <c r="B15" s="12" t="s">
        <v>58</v>
      </c>
      <c r="C15" s="12" t="s">
        <v>59</v>
      </c>
      <c r="D15" s="13">
        <f>iferror(sumif(E15:R15,"&lt;&gt;")/sumif(E15:R15,"&lt;&gt;",E3:R3),"")</f>
        <v>0.6175</v>
      </c>
      <c r="E15" s="12">
        <v>56.0</v>
      </c>
      <c r="F15" s="12"/>
      <c r="G15" s="12"/>
      <c r="H15" s="12"/>
      <c r="I15" s="12">
        <v>67.5</v>
      </c>
      <c r="J15" s="12"/>
      <c r="K15" s="12"/>
      <c r="L15" s="12"/>
      <c r="M15" s="12"/>
      <c r="N15" s="12"/>
      <c r="O15" s="12"/>
      <c r="P15" s="12"/>
      <c r="Q15" s="12"/>
      <c r="R15" s="12"/>
      <c r="S15" s="14">
        <f t="shared" si="2"/>
        <v>0</v>
      </c>
      <c r="T15" s="14">
        <f t="shared" si="3"/>
        <v>0</v>
      </c>
      <c r="U15" s="14">
        <f t="shared" si="4"/>
        <v>0</v>
      </c>
    </row>
    <row r="16" ht="24.0" customHeight="1">
      <c r="A16" s="12" t="s">
        <v>60</v>
      </c>
      <c r="B16" s="12" t="s">
        <v>61</v>
      </c>
      <c r="C16" s="12" t="s">
        <v>62</v>
      </c>
      <c r="D16" s="13">
        <f>iferror(sumif(E16:R16,"&lt;&gt;")/sumif(E16:R16,"&lt;&gt;",E3:R3),"")</f>
        <v>0.6718</v>
      </c>
      <c r="E16" s="12">
        <v>68.0</v>
      </c>
      <c r="F16" s="12">
        <v>90.0</v>
      </c>
      <c r="G16" s="12">
        <v>12.0</v>
      </c>
      <c r="H16" s="12">
        <v>15.0</v>
      </c>
      <c r="I16" s="12">
        <v>87.5</v>
      </c>
      <c r="J16" s="12">
        <v>62.3</v>
      </c>
      <c r="K16" s="12">
        <v>85.0</v>
      </c>
      <c r="L16" s="12">
        <v>97.0</v>
      </c>
      <c r="M16" s="12">
        <v>100.0</v>
      </c>
      <c r="N16" s="12">
        <v>55.0</v>
      </c>
      <c r="O16" s="12"/>
      <c r="P16" s="12"/>
      <c r="Q16" s="12"/>
      <c r="R16" s="12"/>
      <c r="S16" s="14">
        <f t="shared" si="2"/>
        <v>11</v>
      </c>
      <c r="T16" s="14">
        <f t="shared" si="3"/>
        <v>13.5</v>
      </c>
      <c r="U16" s="14">
        <f t="shared" si="4"/>
        <v>13</v>
      </c>
    </row>
    <row r="17" ht="24.0" customHeight="1">
      <c r="A17" s="12" t="s">
        <v>63</v>
      </c>
      <c r="B17" s="12" t="s">
        <v>64</v>
      </c>
      <c r="C17" s="12" t="s">
        <v>65</v>
      </c>
      <c r="D17" s="13">
        <f>iferror(sumif(E17:R17,"&lt;&gt;")/sumif(E17:R17,"&lt;&gt;",E3:R3),"")</f>
        <v>0.8875</v>
      </c>
      <c r="E17" s="12">
        <v>85.0</v>
      </c>
      <c r="F17" s="12">
        <v>75.0</v>
      </c>
      <c r="G17" s="12">
        <v>70.0</v>
      </c>
      <c r="H17" s="12">
        <v>95.0</v>
      </c>
      <c r="I17" s="12">
        <v>72.5</v>
      </c>
      <c r="J17" s="12">
        <v>100.0</v>
      </c>
      <c r="K17" s="12">
        <v>80.0</v>
      </c>
      <c r="L17" s="12">
        <v>100.0</v>
      </c>
      <c r="M17" s="12">
        <v>100.0</v>
      </c>
      <c r="N17" s="12">
        <v>90.0</v>
      </c>
      <c r="O17" s="12">
        <v>100.0</v>
      </c>
      <c r="P17" s="12">
        <v>85.0</v>
      </c>
      <c r="Q17" s="12">
        <v>100.0</v>
      </c>
      <c r="R17" s="12">
        <v>90.0</v>
      </c>
      <c r="S17" s="14">
        <f t="shared" si="2"/>
        <v>93</v>
      </c>
      <c r="T17" s="14">
        <f t="shared" si="3"/>
        <v>82.5</v>
      </c>
      <c r="U17" s="14">
        <f t="shared" si="4"/>
        <v>84.6</v>
      </c>
    </row>
    <row r="18" ht="24.0" customHeight="1">
      <c r="A18" s="12" t="s">
        <v>66</v>
      </c>
      <c r="B18" s="12" t="s">
        <v>67</v>
      </c>
      <c r="C18" s="12" t="s">
        <v>68</v>
      </c>
      <c r="D18" s="13">
        <f>iferror(sumif(E18:R18,"&lt;&gt;")/sumif(E18:R18,"&lt;&gt;",E3:R3),"")</f>
        <v>0</v>
      </c>
      <c r="E18" s="12">
        <v>0.0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4">
        <f t="shared" si="2"/>
        <v>0</v>
      </c>
      <c r="T18" s="14">
        <f t="shared" si="3"/>
        <v>0</v>
      </c>
      <c r="U18" s="14">
        <f t="shared" si="4"/>
        <v>0</v>
      </c>
    </row>
    <row r="19" ht="24.0" customHeight="1">
      <c r="A19" s="12" t="s">
        <v>69</v>
      </c>
      <c r="B19" s="12" t="s">
        <v>70</v>
      </c>
      <c r="C19" s="12" t="s">
        <v>71</v>
      </c>
      <c r="D19" s="13">
        <f>iferror(sumif(E19:R19,"&lt;&gt;")/sumif(E19:R19,"&lt;&gt;",E3:R3),"")</f>
        <v>0.1491666667</v>
      </c>
      <c r="E19" s="12">
        <v>23.0</v>
      </c>
      <c r="F19" s="12">
        <v>0.0</v>
      </c>
      <c r="G19" s="12">
        <v>10.0</v>
      </c>
      <c r="H19" s="12">
        <v>30.0</v>
      </c>
      <c r="I19" s="12">
        <v>12.5</v>
      </c>
      <c r="J19" s="12"/>
      <c r="K19" s="12">
        <v>14.0</v>
      </c>
      <c r="L19" s="12"/>
      <c r="M19" s="12"/>
      <c r="N19" s="12"/>
      <c r="O19" s="12"/>
      <c r="P19" s="12"/>
      <c r="Q19" s="12"/>
      <c r="R19" s="12"/>
      <c r="S19" s="14">
        <f t="shared" si="2"/>
        <v>0</v>
      </c>
      <c r="T19" s="14">
        <f t="shared" si="3"/>
        <v>20</v>
      </c>
      <c r="U19" s="14">
        <f t="shared" si="4"/>
        <v>16</v>
      </c>
    </row>
    <row r="20" ht="24.0" customHeight="1">
      <c r="A20" s="12" t="s">
        <v>72</v>
      </c>
      <c r="B20" s="12" t="s">
        <v>73</v>
      </c>
      <c r="C20" s="12" t="s">
        <v>74</v>
      </c>
      <c r="D20" s="13" t="str">
        <f>iferror(sumif(E20:R20,"&lt;&gt;")/sumif(E20:R20,"&lt;&gt;",E3:R3),"")</f>
        <v/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4">
        <f t="shared" si="2"/>
        <v>0</v>
      </c>
      <c r="T20" s="14">
        <f t="shared" si="3"/>
        <v>0</v>
      </c>
      <c r="U20" s="14">
        <f t="shared" si="4"/>
        <v>0</v>
      </c>
    </row>
    <row r="21" ht="24.0" customHeight="1">
      <c r="A21" s="12" t="s">
        <v>75</v>
      </c>
      <c r="B21" s="12" t="s">
        <v>76</v>
      </c>
      <c r="C21" s="12" t="s">
        <v>77</v>
      </c>
      <c r="D21" s="13">
        <f>iferror(sumif(E21:R21,"&lt;&gt;")/sumif(E21:R21,"&lt;&gt;",E3:R3),"")</f>
        <v>0.7635714286</v>
      </c>
      <c r="E21" s="12">
        <v>40.0</v>
      </c>
      <c r="F21" s="12">
        <v>70.0</v>
      </c>
      <c r="G21" s="12">
        <v>35.0</v>
      </c>
      <c r="H21" s="12">
        <v>65.0</v>
      </c>
      <c r="I21" s="12">
        <v>45.0</v>
      </c>
      <c r="J21" s="12">
        <v>97.0</v>
      </c>
      <c r="K21" s="12">
        <v>85.0</v>
      </c>
      <c r="L21" s="12">
        <v>90.0</v>
      </c>
      <c r="M21" s="12">
        <v>100.0</v>
      </c>
      <c r="N21" s="12">
        <v>95.0</v>
      </c>
      <c r="O21" s="12">
        <v>80.0</v>
      </c>
      <c r="P21" s="12">
        <v>77.0</v>
      </c>
      <c r="Q21" s="12">
        <v>100.0</v>
      </c>
      <c r="R21" s="12">
        <v>90.0</v>
      </c>
      <c r="S21" s="14">
        <f t="shared" si="2"/>
        <v>88.4</v>
      </c>
      <c r="T21" s="14">
        <f t="shared" si="3"/>
        <v>50</v>
      </c>
      <c r="U21" s="14">
        <f t="shared" si="4"/>
        <v>57.68</v>
      </c>
    </row>
    <row r="22" ht="24.0" customHeight="1">
      <c r="A22" s="12" t="s">
        <v>78</v>
      </c>
      <c r="B22" s="12" t="s">
        <v>79</v>
      </c>
      <c r="C22" s="12" t="s">
        <v>80</v>
      </c>
      <c r="D22" s="13">
        <f>iferror(sumif(E22:R22,"&lt;&gt;")/sumif(E22:R22,"&lt;&gt;",E3:R3),"")</f>
        <v>0.7505</v>
      </c>
      <c r="E22" s="12">
        <v>68.0</v>
      </c>
      <c r="F22" s="12">
        <v>65.0</v>
      </c>
      <c r="G22" s="12">
        <v>34.0</v>
      </c>
      <c r="H22" s="12"/>
      <c r="I22" s="12">
        <v>77.5</v>
      </c>
      <c r="J22" s="12">
        <v>92.0</v>
      </c>
      <c r="K22" s="12">
        <v>100.0</v>
      </c>
      <c r="L22" s="12">
        <v>98.0</v>
      </c>
      <c r="M22" s="12">
        <v>100.0</v>
      </c>
      <c r="N22" s="12">
        <v>16.0</v>
      </c>
      <c r="O22" s="12"/>
      <c r="P22" s="12">
        <v>100.0</v>
      </c>
      <c r="Q22" s="12"/>
      <c r="R22" s="12"/>
      <c r="S22" s="14">
        <f t="shared" si="2"/>
        <v>23.2</v>
      </c>
      <c r="T22" s="14">
        <f t="shared" si="3"/>
        <v>17</v>
      </c>
      <c r="U22" s="14">
        <f t="shared" si="4"/>
        <v>18.24</v>
      </c>
    </row>
    <row r="23" ht="24.0" customHeight="1">
      <c r="A23" s="12" t="s">
        <v>81</v>
      </c>
      <c r="B23" s="12" t="s">
        <v>82</v>
      </c>
      <c r="C23" s="12" t="s">
        <v>83</v>
      </c>
      <c r="D23" s="13">
        <f>iferror(sumif(E23:R23,"&lt;&gt;")/sumif(E23:R23,"&lt;&gt;",E3:R3),"")</f>
        <v>0.65</v>
      </c>
      <c r="E23" s="12">
        <v>65.0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4">
        <f t="shared" si="2"/>
        <v>0</v>
      </c>
      <c r="T23" s="14">
        <f t="shared" si="3"/>
        <v>0</v>
      </c>
      <c r="U23" s="14">
        <f t="shared" si="4"/>
        <v>0</v>
      </c>
    </row>
    <row r="24" ht="24.0" customHeight="1">
      <c r="A24" s="12" t="s">
        <v>84</v>
      </c>
      <c r="B24" s="12" t="s">
        <v>85</v>
      </c>
      <c r="C24" s="12" t="s">
        <v>86</v>
      </c>
      <c r="D24" s="13">
        <f>iferror(sumif(E24:R24,"&lt;&gt;")/sumif(E24:R24,"&lt;&gt;",E3:R3),"")</f>
        <v>0.6914285714</v>
      </c>
      <c r="E24" s="12">
        <v>90.0</v>
      </c>
      <c r="F24" s="12">
        <v>50.0</v>
      </c>
      <c r="G24" s="12">
        <v>32.0</v>
      </c>
      <c r="H24" s="12">
        <v>75.0</v>
      </c>
      <c r="I24" s="12">
        <v>65.0</v>
      </c>
      <c r="J24" s="12">
        <v>87.0</v>
      </c>
      <c r="K24" s="12">
        <v>85.0</v>
      </c>
      <c r="L24" s="12"/>
      <c r="M24" s="12"/>
      <c r="N24" s="12"/>
      <c r="O24" s="12"/>
      <c r="P24" s="12"/>
      <c r="Q24" s="12"/>
      <c r="R24" s="12"/>
      <c r="S24" s="14">
        <f t="shared" si="2"/>
        <v>0</v>
      </c>
      <c r="T24" s="14">
        <f t="shared" si="3"/>
        <v>53.5</v>
      </c>
      <c r="U24" s="14">
        <f t="shared" si="4"/>
        <v>42.8</v>
      </c>
    </row>
    <row r="25" ht="24.0" customHeight="1">
      <c r="A25" s="12" t="s">
        <v>87</v>
      </c>
      <c r="B25" s="12" t="s">
        <v>88</v>
      </c>
      <c r="C25" s="12" t="s">
        <v>89</v>
      </c>
      <c r="D25" s="13">
        <f>iferror(sumif(E25:R25,"&lt;&gt;")/sumif(E25:R25,"&lt;&gt;",E3:R3),"")</f>
        <v>0.5464285714</v>
      </c>
      <c r="E25" s="12">
        <v>24.0</v>
      </c>
      <c r="F25" s="12">
        <v>40.0</v>
      </c>
      <c r="G25" s="12">
        <v>40.0</v>
      </c>
      <c r="H25" s="12">
        <v>35.0</v>
      </c>
      <c r="I25" s="12">
        <v>80.5</v>
      </c>
      <c r="J25" s="12">
        <v>95.0</v>
      </c>
      <c r="K25" s="12"/>
      <c r="L25" s="12">
        <v>68.0</v>
      </c>
      <c r="M25" s="12"/>
      <c r="N25" s="12"/>
      <c r="O25" s="12"/>
      <c r="P25" s="12"/>
      <c r="Q25" s="12"/>
      <c r="R25" s="12"/>
      <c r="S25" s="14">
        <f t="shared" si="2"/>
        <v>0</v>
      </c>
      <c r="T25" s="14">
        <f t="shared" si="3"/>
        <v>37.5</v>
      </c>
      <c r="U25" s="14">
        <f t="shared" si="4"/>
        <v>30</v>
      </c>
    </row>
    <row r="26" ht="24.0" customHeight="1">
      <c r="A26" s="12" t="s">
        <v>90</v>
      </c>
      <c r="B26" s="12" t="s">
        <v>91</v>
      </c>
      <c r="C26" s="12" t="s">
        <v>92</v>
      </c>
      <c r="D26" s="13">
        <f>iferror(sumif(E26:R26,"&lt;&gt;")/sumif(E26:R26,"&lt;&gt;",E3:R3),"")</f>
        <v>0.9403571429</v>
      </c>
      <c r="E26" s="12">
        <v>80.0</v>
      </c>
      <c r="F26" s="12">
        <v>98.0</v>
      </c>
      <c r="G26" s="12">
        <v>75.0</v>
      </c>
      <c r="H26" s="12">
        <v>87.0</v>
      </c>
      <c r="I26" s="12">
        <v>87.5</v>
      </c>
      <c r="J26" s="12">
        <v>100.0</v>
      </c>
      <c r="K26" s="12">
        <v>100.0</v>
      </c>
      <c r="L26" s="12">
        <v>99.0</v>
      </c>
      <c r="M26" s="12">
        <v>100.0</v>
      </c>
      <c r="N26" s="12">
        <v>100.0</v>
      </c>
      <c r="O26" s="12">
        <v>100.0</v>
      </c>
      <c r="P26" s="12">
        <v>100.0</v>
      </c>
      <c r="Q26" s="12">
        <v>100.0</v>
      </c>
      <c r="R26" s="12">
        <v>90.0</v>
      </c>
      <c r="S26" s="14">
        <f t="shared" si="2"/>
        <v>98</v>
      </c>
      <c r="T26" s="14">
        <f t="shared" si="3"/>
        <v>81</v>
      </c>
      <c r="U26" s="14">
        <f t="shared" si="4"/>
        <v>84.4</v>
      </c>
    </row>
    <row r="27" ht="24.0" customHeight="1">
      <c r="A27" s="12" t="s">
        <v>93</v>
      </c>
      <c r="B27" s="12" t="s">
        <v>94</v>
      </c>
      <c r="C27" s="12" t="s">
        <v>95</v>
      </c>
      <c r="D27" s="13">
        <f>iferror(sumif(E27:R27,"&lt;&gt;")/sumif(E27:R27,"&lt;&gt;",E3:R3),"")</f>
        <v>0.1216666667</v>
      </c>
      <c r="E27" s="12">
        <v>10.0</v>
      </c>
      <c r="F27" s="12"/>
      <c r="G27" s="12"/>
      <c r="H27" s="12"/>
      <c r="I27" s="12">
        <v>12.5</v>
      </c>
      <c r="J27" s="12"/>
      <c r="K27" s="12">
        <v>14.0</v>
      </c>
      <c r="L27" s="12"/>
      <c r="M27" s="12"/>
      <c r="N27" s="12"/>
      <c r="O27" s="12"/>
      <c r="P27" s="12"/>
      <c r="Q27" s="12"/>
      <c r="R27" s="12"/>
      <c r="S27" s="14">
        <f t="shared" si="2"/>
        <v>0</v>
      </c>
      <c r="T27" s="14">
        <f t="shared" si="3"/>
        <v>0</v>
      </c>
      <c r="U27" s="14">
        <f t="shared" si="4"/>
        <v>0</v>
      </c>
    </row>
    <row r="28" ht="24.0" customHeight="1"/>
    <row r="29" ht="24.0" customHeight="1"/>
    <row r="30" ht="24.0" customHeight="1"/>
    <row r="31" ht="24.0" customHeight="1"/>
    <row r="32" ht="24.0" customHeight="1"/>
    <row r="33" ht="24.0" customHeight="1"/>
    <row r="34" ht="24.0" customHeight="1"/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24.0" customHeight="1"/>
    <row r="236" ht="24.0" customHeight="1"/>
    <row r="237" ht="24.0" customHeight="1"/>
    <row r="238" ht="24.0" customHeight="1"/>
    <row r="239" ht="24.0" customHeight="1"/>
    <row r="240" ht="24.0" customHeight="1"/>
    <row r="241" ht="24.0" customHeight="1"/>
    <row r="242" ht="24.0" customHeight="1"/>
    <row r="243" ht="24.0" customHeight="1"/>
    <row r="244" ht="24.0" customHeight="1"/>
    <row r="245" ht="24.0" customHeight="1"/>
    <row r="246" ht="24.0" customHeight="1"/>
    <row r="247" ht="24.0" customHeight="1"/>
    <row r="248" ht="24.0" customHeight="1"/>
    <row r="249" ht="24.0" customHeight="1"/>
    <row r="250" ht="24.0" customHeight="1"/>
    <row r="251" ht="24.0" customHeight="1"/>
    <row r="252" ht="24.0" customHeight="1"/>
    <row r="253" ht="24.0" customHeight="1"/>
    <row r="254" ht="24.0" customHeight="1"/>
    <row r="255" ht="24.0" customHeight="1"/>
    <row r="256" ht="24.0" customHeight="1"/>
    <row r="257" ht="24.0" customHeight="1"/>
    <row r="258" ht="24.0" customHeight="1"/>
    <row r="259" ht="24.0" customHeight="1"/>
    <row r="260" ht="24.0" customHeight="1"/>
    <row r="261" ht="24.0" customHeight="1"/>
    <row r="262" ht="24.0" customHeight="1"/>
    <row r="263" ht="24.0" customHeight="1"/>
    <row r="264" ht="24.0" customHeight="1"/>
    <row r="265" ht="24.0" customHeight="1"/>
    <row r="266" ht="24.0" customHeight="1"/>
    <row r="267" ht="24.0" customHeight="1"/>
    <row r="268" ht="24.0" customHeight="1"/>
    <row r="269" ht="24.0" customHeight="1"/>
    <row r="270" ht="24.0" customHeight="1"/>
    <row r="271" ht="24.0" customHeight="1"/>
    <row r="272" ht="24.0" customHeight="1"/>
    <row r="273" ht="24.0" customHeight="1"/>
    <row r="274" ht="24.0" customHeight="1"/>
    <row r="275" ht="24.0" customHeight="1"/>
    <row r="276" ht="24.0" customHeight="1"/>
    <row r="277" ht="24.0" customHeight="1"/>
    <row r="278" ht="24.0" customHeight="1"/>
    <row r="279" ht="24.0" customHeight="1"/>
    <row r="280" ht="24.0" customHeight="1"/>
    <row r="281" ht="24.0" customHeight="1"/>
    <row r="282" ht="24.0" customHeight="1"/>
    <row r="283" ht="24.0" customHeight="1"/>
    <row r="284" ht="24.0" customHeight="1"/>
    <row r="285" ht="24.0" customHeight="1"/>
    <row r="286" ht="24.0" customHeight="1"/>
    <row r="287" ht="24.0" customHeight="1"/>
    <row r="288" ht="24.0" customHeight="1"/>
    <row r="289" ht="24.0" customHeight="1"/>
    <row r="290" ht="24.0" customHeight="1"/>
    <row r="291" ht="24.0" customHeight="1"/>
    <row r="292" ht="24.0" customHeight="1"/>
    <row r="293" ht="24.0" customHeight="1"/>
    <row r="294" ht="24.0" customHeight="1"/>
    <row r="295" ht="24.0" customHeight="1"/>
    <row r="296" ht="24.0" customHeight="1"/>
    <row r="297" ht="24.0" customHeight="1"/>
    <row r="298" ht="24.0" customHeight="1"/>
    <row r="299" ht="24.0" customHeight="1"/>
    <row r="300" ht="24.0" customHeight="1"/>
    <row r="301" ht="24.0" customHeight="1"/>
    <row r="302" ht="24.0" customHeight="1"/>
    <row r="303" ht="24.0" customHeight="1"/>
    <row r="304" ht="24.0" customHeight="1"/>
    <row r="305" ht="24.0" customHeight="1"/>
    <row r="306" ht="24.0" customHeight="1"/>
    <row r="307" ht="24.0" customHeight="1"/>
    <row r="308" ht="24.0" customHeight="1"/>
    <row r="309" ht="24.0" customHeight="1"/>
    <row r="310" ht="24.0" customHeight="1"/>
    <row r="311" ht="24.0" customHeight="1"/>
    <row r="312" ht="24.0" customHeight="1"/>
    <row r="313" ht="24.0" customHeight="1"/>
    <row r="314" ht="24.0" customHeight="1"/>
    <row r="315" ht="24.0" customHeight="1"/>
    <row r="316" ht="24.0" customHeight="1"/>
    <row r="317" ht="24.0" customHeight="1"/>
    <row r="318" ht="24.0" customHeight="1"/>
    <row r="319" ht="24.0" customHeight="1"/>
    <row r="320" ht="24.0" customHeight="1"/>
    <row r="321" ht="24.0" customHeight="1"/>
    <row r="322" ht="24.0" customHeight="1"/>
    <row r="323" ht="24.0" customHeight="1"/>
    <row r="324" ht="24.0" customHeight="1"/>
    <row r="325" ht="24.0" customHeight="1"/>
    <row r="326" ht="24.0" customHeight="1"/>
    <row r="327" ht="24.0" customHeight="1"/>
    <row r="328" ht="24.0" customHeight="1"/>
    <row r="329" ht="24.0" customHeight="1"/>
    <row r="330" ht="24.0" customHeight="1"/>
    <row r="331" ht="24.0" customHeight="1"/>
    <row r="332" ht="24.0" customHeight="1"/>
    <row r="333" ht="24.0" customHeight="1"/>
    <row r="334" ht="24.0" customHeight="1"/>
    <row r="335" ht="24.0" customHeight="1"/>
    <row r="336" ht="24.0" customHeight="1"/>
    <row r="337" ht="24.0" customHeight="1"/>
    <row r="338" ht="24.0" customHeight="1"/>
    <row r="339" ht="24.0" customHeight="1"/>
    <row r="340" ht="24.0" customHeight="1"/>
    <row r="341" ht="24.0" customHeight="1"/>
    <row r="342" ht="24.0" customHeight="1"/>
    <row r="343" ht="24.0" customHeight="1"/>
    <row r="344" ht="24.0" customHeight="1"/>
    <row r="345" ht="24.0" customHeight="1"/>
    <row r="346" ht="24.0" customHeight="1"/>
    <row r="347" ht="24.0" customHeight="1"/>
    <row r="348" ht="24.0" customHeight="1"/>
    <row r="349" ht="24.0" customHeight="1"/>
    <row r="350" ht="24.0" customHeight="1"/>
    <row r="351" ht="24.0" customHeight="1"/>
    <row r="352" ht="24.0" customHeight="1"/>
    <row r="353" ht="24.0" customHeight="1"/>
    <row r="354" ht="24.0" customHeight="1"/>
    <row r="355" ht="24.0" customHeight="1"/>
    <row r="356" ht="24.0" customHeight="1"/>
    <row r="357" ht="24.0" customHeight="1"/>
    <row r="358" ht="24.0" customHeight="1"/>
    <row r="359" ht="24.0" customHeight="1"/>
    <row r="360" ht="24.0" customHeight="1"/>
    <row r="361" ht="24.0" customHeight="1"/>
    <row r="362" ht="24.0" customHeight="1"/>
    <row r="363" ht="24.0" customHeight="1"/>
    <row r="364" ht="24.0" customHeight="1"/>
    <row r="365" ht="24.0" customHeight="1"/>
    <row r="366" ht="24.0" customHeight="1"/>
    <row r="367" ht="24.0" customHeight="1"/>
    <row r="368" ht="24.0" customHeight="1"/>
    <row r="369" ht="24.0" customHeight="1"/>
    <row r="370" ht="24.0" customHeight="1"/>
    <row r="371" ht="24.0" customHeight="1"/>
    <row r="372" ht="24.0" customHeight="1"/>
    <row r="373" ht="24.0" customHeight="1"/>
    <row r="374" ht="24.0" customHeight="1"/>
    <row r="375" ht="24.0" customHeight="1"/>
    <row r="376" ht="24.0" customHeight="1"/>
    <row r="377" ht="24.0" customHeight="1"/>
    <row r="378" ht="24.0" customHeight="1"/>
    <row r="379" ht="24.0" customHeight="1"/>
    <row r="380" ht="24.0" customHeight="1"/>
    <row r="381" ht="24.0" customHeight="1"/>
    <row r="382" ht="24.0" customHeight="1"/>
    <row r="383" ht="24.0" customHeight="1"/>
    <row r="384" ht="24.0" customHeight="1"/>
    <row r="385" ht="24.0" customHeight="1"/>
    <row r="386" ht="24.0" customHeight="1"/>
    <row r="387" ht="24.0" customHeight="1"/>
    <row r="388" ht="24.0" customHeight="1"/>
    <row r="389" ht="24.0" customHeight="1"/>
    <row r="390" ht="24.0" customHeight="1"/>
    <row r="391" ht="24.0" customHeight="1"/>
    <row r="392" ht="24.0" customHeight="1"/>
    <row r="393" ht="24.0" customHeight="1"/>
    <row r="394" ht="24.0" customHeight="1"/>
    <row r="395" ht="24.0" customHeight="1"/>
    <row r="396" ht="24.0" customHeight="1"/>
    <row r="397" ht="24.0" customHeight="1"/>
    <row r="398" ht="24.0" customHeight="1"/>
    <row r="399" ht="24.0" customHeight="1"/>
    <row r="400" ht="24.0" customHeight="1"/>
    <row r="401" ht="24.0" customHeight="1"/>
    <row r="402" ht="24.0" customHeight="1"/>
    <row r="403" ht="24.0" customHeight="1"/>
    <row r="404" ht="24.0" customHeight="1"/>
    <row r="405" ht="24.0" customHeight="1"/>
    <row r="406" ht="24.0" customHeight="1"/>
    <row r="407" ht="24.0" customHeight="1"/>
    <row r="408" ht="24.0" customHeight="1"/>
    <row r="409" ht="24.0" customHeight="1"/>
    <row r="410" ht="24.0" customHeight="1"/>
    <row r="411" ht="24.0" customHeight="1"/>
    <row r="412" ht="24.0" customHeight="1"/>
    <row r="413" ht="24.0" customHeight="1"/>
    <row r="414" ht="24.0" customHeight="1"/>
    <row r="415" ht="24.0" customHeight="1"/>
    <row r="416" ht="24.0" customHeight="1"/>
    <row r="417" ht="24.0" customHeight="1"/>
    <row r="418" ht="24.0" customHeight="1"/>
    <row r="419" ht="24.0" customHeight="1"/>
    <row r="420" ht="24.0" customHeight="1"/>
    <row r="421" ht="24.0" customHeight="1"/>
    <row r="422" ht="24.0" customHeight="1"/>
    <row r="423" ht="24.0" customHeight="1"/>
    <row r="424" ht="24.0" customHeight="1"/>
    <row r="425" ht="24.0" customHeight="1"/>
    <row r="426" ht="24.0" customHeight="1"/>
    <row r="427" ht="24.0" customHeight="1"/>
    <row r="428" ht="24.0" customHeight="1"/>
    <row r="429" ht="24.0" customHeight="1"/>
    <row r="430" ht="24.0" customHeight="1"/>
    <row r="431" ht="24.0" customHeight="1"/>
    <row r="432" ht="24.0" customHeight="1"/>
    <row r="433" ht="24.0" customHeight="1"/>
    <row r="434" ht="24.0" customHeight="1"/>
    <row r="435" ht="24.0" customHeight="1"/>
    <row r="436" ht="24.0" customHeight="1"/>
    <row r="437" ht="24.0" customHeight="1"/>
    <row r="438" ht="24.0" customHeight="1"/>
    <row r="439" ht="24.0" customHeight="1"/>
    <row r="440" ht="24.0" customHeight="1"/>
    <row r="441" ht="24.0" customHeight="1"/>
    <row r="442" ht="24.0" customHeight="1"/>
    <row r="443" ht="24.0" customHeight="1"/>
    <row r="444" ht="24.0" customHeight="1"/>
    <row r="445" ht="24.0" customHeight="1"/>
    <row r="446" ht="24.0" customHeight="1"/>
    <row r="447" ht="24.0" customHeight="1"/>
    <row r="448" ht="24.0" customHeight="1"/>
    <row r="449" ht="24.0" customHeight="1"/>
    <row r="450" ht="24.0" customHeight="1"/>
    <row r="451" ht="24.0" customHeight="1"/>
    <row r="452" ht="24.0" customHeight="1"/>
    <row r="453" ht="24.0" customHeight="1"/>
    <row r="454" ht="24.0" customHeight="1"/>
    <row r="455" ht="24.0" customHeight="1"/>
    <row r="456" ht="24.0" customHeight="1"/>
    <row r="457" ht="24.0" customHeight="1"/>
    <row r="458" ht="24.0" customHeight="1"/>
    <row r="459" ht="24.0" customHeight="1"/>
    <row r="460" ht="24.0" customHeight="1"/>
    <row r="461" ht="24.0" customHeight="1"/>
    <row r="462" ht="24.0" customHeight="1"/>
    <row r="463" ht="24.0" customHeight="1"/>
    <row r="464" ht="24.0" customHeight="1"/>
    <row r="465" ht="24.0" customHeight="1"/>
    <row r="466" ht="24.0" customHeight="1"/>
    <row r="467" ht="24.0" customHeight="1"/>
    <row r="468" ht="24.0" customHeight="1"/>
    <row r="469" ht="24.0" customHeight="1"/>
    <row r="470" ht="24.0" customHeight="1"/>
    <row r="471" ht="24.0" customHeight="1"/>
    <row r="472" ht="24.0" customHeight="1"/>
    <row r="473" ht="24.0" customHeight="1"/>
    <row r="474" ht="24.0" customHeight="1"/>
    <row r="475" ht="24.0" customHeight="1"/>
    <row r="476" ht="24.0" customHeight="1"/>
    <row r="477" ht="24.0" customHeight="1"/>
    <row r="478" ht="24.0" customHeight="1"/>
    <row r="479" ht="24.0" customHeight="1"/>
    <row r="480" ht="24.0" customHeight="1"/>
    <row r="481" ht="24.0" customHeight="1"/>
    <row r="482" ht="24.0" customHeight="1"/>
    <row r="483" ht="24.0" customHeight="1"/>
    <row r="484" ht="24.0" customHeight="1"/>
    <row r="485" ht="24.0" customHeight="1"/>
    <row r="486" ht="24.0" customHeight="1"/>
    <row r="487" ht="24.0" customHeight="1"/>
    <row r="488" ht="24.0" customHeight="1"/>
    <row r="489" ht="24.0" customHeight="1"/>
    <row r="490" ht="24.0" customHeight="1"/>
    <row r="491" ht="24.0" customHeight="1"/>
    <row r="492" ht="24.0" customHeight="1"/>
    <row r="493" ht="24.0" customHeight="1"/>
    <row r="494" ht="24.0" customHeight="1"/>
    <row r="495" ht="24.0" customHeight="1"/>
    <row r="496" ht="24.0" customHeight="1"/>
    <row r="497" ht="24.0" customHeight="1"/>
    <row r="498" ht="24.0" customHeight="1"/>
    <row r="499" ht="24.0" customHeight="1"/>
    <row r="500" ht="24.0" customHeight="1"/>
    <row r="501" ht="24.0" customHeight="1"/>
    <row r="502" ht="24.0" customHeight="1"/>
    <row r="503" ht="24.0" customHeight="1"/>
    <row r="504" ht="24.0" customHeight="1"/>
    <row r="505" ht="24.0" customHeight="1"/>
    <row r="506" ht="24.0" customHeight="1"/>
    <row r="507" ht="24.0" customHeight="1"/>
    <row r="508" ht="24.0" customHeight="1"/>
    <row r="509" ht="24.0" customHeight="1"/>
    <row r="510" ht="24.0" customHeight="1"/>
    <row r="511" ht="24.0" customHeight="1"/>
    <row r="512" ht="24.0" customHeight="1"/>
    <row r="513" ht="24.0" customHeight="1"/>
    <row r="514" ht="24.0" customHeight="1"/>
    <row r="515" ht="24.0" customHeight="1"/>
    <row r="516" ht="24.0" customHeight="1"/>
    <row r="517" ht="24.0" customHeight="1"/>
    <row r="518" ht="24.0" customHeight="1"/>
    <row r="519" ht="24.0" customHeight="1"/>
    <row r="520" ht="24.0" customHeight="1"/>
    <row r="521" ht="24.0" customHeight="1"/>
    <row r="522" ht="24.0" customHeight="1"/>
    <row r="523" ht="24.0" customHeight="1"/>
    <row r="524" ht="24.0" customHeight="1"/>
    <row r="525" ht="24.0" customHeight="1"/>
    <row r="526" ht="24.0" customHeight="1"/>
    <row r="527" ht="24.0" customHeight="1"/>
    <row r="528" ht="24.0" customHeight="1"/>
    <row r="529" ht="24.0" customHeight="1"/>
    <row r="530" ht="24.0" customHeight="1"/>
    <row r="531" ht="24.0" customHeight="1"/>
    <row r="532" ht="24.0" customHeight="1"/>
    <row r="533" ht="24.0" customHeight="1"/>
    <row r="534" ht="24.0" customHeight="1"/>
    <row r="535" ht="24.0" customHeight="1"/>
    <row r="536" ht="24.0" customHeight="1"/>
    <row r="537" ht="24.0" customHeight="1"/>
    <row r="538" ht="24.0" customHeight="1"/>
    <row r="539" ht="24.0" customHeight="1"/>
    <row r="540" ht="24.0" customHeight="1"/>
    <row r="541" ht="24.0" customHeight="1"/>
    <row r="542" ht="24.0" customHeight="1"/>
    <row r="543" ht="24.0" customHeight="1"/>
    <row r="544" ht="24.0" customHeight="1"/>
    <row r="545" ht="24.0" customHeight="1"/>
    <row r="546" ht="24.0" customHeight="1"/>
    <row r="547" ht="24.0" customHeight="1"/>
    <row r="548" ht="24.0" customHeight="1"/>
    <row r="549" ht="24.0" customHeight="1"/>
    <row r="550" ht="24.0" customHeight="1"/>
    <row r="551" ht="24.0" customHeight="1"/>
    <row r="552" ht="24.0" customHeight="1"/>
    <row r="553" ht="24.0" customHeight="1"/>
    <row r="554" ht="24.0" customHeight="1"/>
    <row r="555" ht="24.0" customHeight="1"/>
    <row r="556" ht="24.0" customHeight="1"/>
    <row r="557" ht="24.0" customHeight="1"/>
    <row r="558" ht="24.0" customHeight="1"/>
    <row r="559" ht="24.0" customHeight="1"/>
    <row r="560" ht="24.0" customHeight="1"/>
    <row r="561" ht="24.0" customHeight="1"/>
    <row r="562" ht="24.0" customHeight="1"/>
    <row r="563" ht="24.0" customHeight="1"/>
    <row r="564" ht="24.0" customHeight="1"/>
    <row r="565" ht="24.0" customHeight="1"/>
    <row r="566" ht="24.0" customHeight="1"/>
    <row r="567" ht="24.0" customHeight="1"/>
    <row r="568" ht="24.0" customHeight="1"/>
    <row r="569" ht="24.0" customHeight="1"/>
    <row r="570" ht="24.0" customHeight="1"/>
    <row r="571" ht="24.0" customHeight="1"/>
    <row r="572" ht="24.0" customHeight="1"/>
    <row r="573" ht="24.0" customHeight="1"/>
    <row r="574" ht="24.0" customHeight="1"/>
    <row r="575" ht="24.0" customHeight="1"/>
    <row r="576" ht="24.0" customHeight="1"/>
    <row r="577" ht="24.0" customHeight="1"/>
    <row r="578" ht="24.0" customHeight="1"/>
    <row r="579" ht="24.0" customHeight="1"/>
    <row r="580" ht="24.0" customHeight="1"/>
    <row r="581" ht="24.0" customHeight="1"/>
    <row r="582" ht="24.0" customHeight="1"/>
    <row r="583" ht="24.0" customHeight="1"/>
    <row r="584" ht="24.0" customHeight="1"/>
    <row r="585" ht="24.0" customHeight="1"/>
    <row r="586" ht="24.0" customHeight="1"/>
    <row r="587" ht="24.0" customHeight="1"/>
    <row r="588" ht="24.0" customHeight="1"/>
    <row r="589" ht="24.0" customHeight="1"/>
    <row r="590" ht="24.0" customHeight="1"/>
    <row r="591" ht="24.0" customHeight="1"/>
    <row r="592" ht="24.0" customHeight="1"/>
    <row r="593" ht="24.0" customHeight="1"/>
    <row r="594" ht="24.0" customHeight="1"/>
    <row r="595" ht="24.0" customHeight="1"/>
    <row r="596" ht="24.0" customHeight="1"/>
    <row r="597" ht="24.0" customHeight="1"/>
    <row r="598" ht="24.0" customHeight="1"/>
    <row r="599" ht="24.0" customHeight="1"/>
    <row r="600" ht="24.0" customHeight="1"/>
    <row r="601" ht="24.0" customHeight="1"/>
    <row r="602" ht="24.0" customHeight="1"/>
    <row r="603" ht="24.0" customHeight="1"/>
    <row r="604" ht="24.0" customHeight="1"/>
    <row r="605" ht="24.0" customHeight="1"/>
    <row r="606" ht="24.0" customHeight="1"/>
    <row r="607" ht="24.0" customHeight="1"/>
    <row r="608" ht="24.0" customHeight="1"/>
    <row r="609" ht="24.0" customHeight="1"/>
    <row r="610" ht="24.0" customHeight="1"/>
    <row r="611" ht="24.0" customHeight="1"/>
    <row r="612" ht="24.0" customHeight="1"/>
    <row r="613" ht="24.0" customHeight="1"/>
    <row r="614" ht="24.0" customHeight="1"/>
    <row r="615" ht="24.0" customHeight="1"/>
    <row r="616" ht="24.0" customHeight="1"/>
    <row r="617" ht="24.0" customHeight="1"/>
    <row r="618" ht="24.0" customHeight="1"/>
    <row r="619" ht="24.0" customHeight="1"/>
    <row r="620" ht="24.0" customHeight="1"/>
    <row r="621" ht="24.0" customHeight="1"/>
    <row r="622" ht="24.0" customHeight="1"/>
    <row r="623" ht="24.0" customHeight="1"/>
    <row r="624" ht="24.0" customHeight="1"/>
    <row r="625" ht="24.0" customHeight="1"/>
    <row r="626" ht="24.0" customHeight="1"/>
    <row r="627" ht="24.0" customHeight="1"/>
    <row r="628" ht="24.0" customHeight="1"/>
    <row r="629" ht="24.0" customHeight="1"/>
    <row r="630" ht="24.0" customHeight="1"/>
    <row r="631" ht="24.0" customHeight="1"/>
    <row r="632" ht="24.0" customHeight="1"/>
    <row r="633" ht="24.0" customHeight="1"/>
    <row r="634" ht="24.0" customHeight="1"/>
    <row r="635" ht="24.0" customHeight="1"/>
    <row r="636" ht="24.0" customHeight="1"/>
    <row r="637" ht="24.0" customHeight="1"/>
    <row r="638" ht="24.0" customHeight="1"/>
    <row r="639" ht="24.0" customHeight="1"/>
    <row r="640" ht="24.0" customHeight="1"/>
    <row r="641" ht="24.0" customHeight="1"/>
    <row r="642" ht="24.0" customHeight="1"/>
    <row r="643" ht="24.0" customHeight="1"/>
    <row r="644" ht="24.0" customHeight="1"/>
    <row r="645" ht="24.0" customHeight="1"/>
    <row r="646" ht="24.0" customHeight="1"/>
    <row r="647" ht="24.0" customHeight="1"/>
    <row r="648" ht="24.0" customHeight="1"/>
    <row r="649" ht="24.0" customHeight="1"/>
    <row r="650" ht="24.0" customHeight="1"/>
    <row r="651" ht="24.0" customHeight="1"/>
    <row r="652" ht="24.0" customHeight="1"/>
    <row r="653" ht="24.0" customHeight="1"/>
    <row r="654" ht="24.0" customHeight="1"/>
    <row r="655" ht="24.0" customHeight="1"/>
    <row r="656" ht="24.0" customHeight="1"/>
    <row r="657" ht="24.0" customHeight="1"/>
    <row r="658" ht="24.0" customHeight="1"/>
    <row r="659" ht="24.0" customHeight="1"/>
    <row r="660" ht="24.0" customHeight="1"/>
    <row r="661" ht="24.0" customHeight="1"/>
    <row r="662" ht="24.0" customHeight="1"/>
    <row r="663" ht="24.0" customHeight="1"/>
    <row r="664" ht="24.0" customHeight="1"/>
    <row r="665" ht="24.0" customHeight="1"/>
    <row r="666" ht="24.0" customHeight="1"/>
    <row r="667" ht="24.0" customHeight="1"/>
    <row r="668" ht="24.0" customHeight="1"/>
    <row r="669" ht="24.0" customHeight="1"/>
    <row r="670" ht="24.0" customHeight="1"/>
    <row r="671" ht="24.0" customHeight="1"/>
    <row r="672" ht="24.0" customHeight="1"/>
    <row r="673" ht="24.0" customHeight="1"/>
    <row r="674" ht="24.0" customHeight="1"/>
    <row r="675" ht="24.0" customHeight="1"/>
    <row r="676" ht="24.0" customHeight="1"/>
    <row r="677" ht="24.0" customHeight="1"/>
    <row r="678" ht="24.0" customHeight="1"/>
    <row r="679" ht="24.0" customHeight="1"/>
    <row r="680" ht="24.0" customHeight="1"/>
    <row r="681" ht="24.0" customHeight="1"/>
    <row r="682" ht="24.0" customHeight="1"/>
    <row r="683" ht="24.0" customHeight="1"/>
    <row r="684" ht="24.0" customHeight="1"/>
    <row r="685" ht="24.0" customHeight="1"/>
    <row r="686" ht="24.0" customHeight="1"/>
    <row r="687" ht="24.0" customHeight="1"/>
    <row r="688" ht="24.0" customHeight="1"/>
    <row r="689" ht="24.0" customHeight="1"/>
    <row r="690" ht="24.0" customHeight="1"/>
    <row r="691" ht="24.0" customHeight="1"/>
    <row r="692" ht="24.0" customHeight="1"/>
    <row r="693" ht="24.0" customHeight="1"/>
    <row r="694" ht="24.0" customHeight="1"/>
    <row r="695" ht="24.0" customHeight="1"/>
    <row r="696" ht="24.0" customHeight="1"/>
    <row r="697" ht="24.0" customHeight="1"/>
    <row r="698" ht="24.0" customHeight="1"/>
    <row r="699" ht="24.0" customHeight="1"/>
    <row r="700" ht="24.0" customHeight="1"/>
    <row r="701" ht="24.0" customHeight="1"/>
    <row r="702" ht="24.0" customHeight="1"/>
    <row r="703" ht="24.0" customHeight="1"/>
    <row r="704" ht="24.0" customHeight="1"/>
    <row r="705" ht="24.0" customHeight="1"/>
    <row r="706" ht="24.0" customHeight="1"/>
    <row r="707" ht="24.0" customHeight="1"/>
    <row r="708" ht="24.0" customHeight="1"/>
    <row r="709" ht="24.0" customHeight="1"/>
    <row r="710" ht="24.0" customHeight="1"/>
    <row r="711" ht="24.0" customHeight="1"/>
    <row r="712" ht="24.0" customHeight="1"/>
    <row r="713" ht="24.0" customHeight="1"/>
    <row r="714" ht="24.0" customHeight="1"/>
    <row r="715" ht="24.0" customHeight="1"/>
    <row r="716" ht="24.0" customHeight="1"/>
    <row r="717" ht="24.0" customHeight="1"/>
    <row r="718" ht="24.0" customHeight="1"/>
    <row r="719" ht="24.0" customHeight="1"/>
    <row r="720" ht="24.0" customHeight="1"/>
    <row r="721" ht="24.0" customHeight="1"/>
    <row r="722" ht="24.0" customHeight="1"/>
    <row r="723" ht="24.0" customHeight="1"/>
    <row r="724" ht="24.0" customHeight="1"/>
    <row r="725" ht="24.0" customHeight="1"/>
    <row r="726" ht="24.0" customHeight="1"/>
    <row r="727" ht="24.0" customHeight="1"/>
    <row r="728" ht="24.0" customHeight="1"/>
    <row r="729" ht="24.0" customHeight="1"/>
    <row r="730" ht="24.0" customHeight="1"/>
    <row r="731" ht="24.0" customHeight="1"/>
    <row r="732" ht="24.0" customHeight="1"/>
    <row r="733" ht="24.0" customHeight="1"/>
    <row r="734" ht="24.0" customHeight="1"/>
    <row r="735" ht="24.0" customHeight="1"/>
    <row r="736" ht="24.0" customHeight="1"/>
    <row r="737" ht="24.0" customHeight="1"/>
    <row r="738" ht="24.0" customHeight="1"/>
    <row r="739" ht="24.0" customHeight="1"/>
    <row r="740" ht="24.0" customHeight="1"/>
    <row r="741" ht="24.0" customHeight="1"/>
    <row r="742" ht="24.0" customHeight="1"/>
    <row r="743" ht="24.0" customHeight="1"/>
    <row r="744" ht="24.0" customHeight="1"/>
    <row r="745" ht="24.0" customHeight="1"/>
    <row r="746" ht="24.0" customHeight="1"/>
    <row r="747" ht="24.0" customHeight="1"/>
    <row r="748" ht="24.0" customHeight="1"/>
    <row r="749" ht="24.0" customHeight="1"/>
    <row r="750" ht="24.0" customHeight="1"/>
    <row r="751" ht="24.0" customHeight="1"/>
    <row r="752" ht="24.0" customHeight="1"/>
    <row r="753" ht="24.0" customHeight="1"/>
    <row r="754" ht="24.0" customHeight="1"/>
    <row r="755" ht="24.0" customHeight="1"/>
    <row r="756" ht="24.0" customHeight="1"/>
    <row r="757" ht="24.0" customHeight="1"/>
    <row r="758" ht="24.0" customHeight="1"/>
    <row r="759" ht="24.0" customHeight="1"/>
    <row r="760" ht="24.0" customHeight="1"/>
    <row r="761" ht="24.0" customHeight="1"/>
    <row r="762" ht="24.0" customHeight="1"/>
    <row r="763" ht="24.0" customHeight="1"/>
    <row r="764" ht="24.0" customHeight="1"/>
    <row r="765" ht="24.0" customHeight="1"/>
    <row r="766" ht="24.0" customHeight="1"/>
    <row r="767" ht="24.0" customHeight="1"/>
    <row r="768" ht="24.0" customHeight="1"/>
    <row r="769" ht="24.0" customHeight="1"/>
    <row r="770" ht="24.0" customHeight="1"/>
    <row r="771" ht="24.0" customHeight="1"/>
    <row r="772" ht="24.0" customHeight="1"/>
    <row r="773" ht="24.0" customHeight="1"/>
    <row r="774" ht="24.0" customHeight="1"/>
    <row r="775" ht="24.0" customHeight="1"/>
    <row r="776" ht="24.0" customHeight="1"/>
    <row r="777" ht="24.0" customHeight="1"/>
    <row r="778" ht="24.0" customHeight="1"/>
    <row r="779" ht="24.0" customHeight="1"/>
    <row r="780" ht="24.0" customHeight="1"/>
    <row r="781" ht="24.0" customHeight="1"/>
    <row r="782" ht="24.0" customHeight="1"/>
    <row r="783" ht="24.0" customHeight="1"/>
    <row r="784" ht="24.0" customHeight="1"/>
    <row r="785" ht="24.0" customHeight="1"/>
    <row r="786" ht="24.0" customHeight="1"/>
    <row r="787" ht="24.0" customHeight="1"/>
    <row r="788" ht="24.0" customHeight="1"/>
    <row r="789" ht="24.0" customHeight="1"/>
    <row r="790" ht="24.0" customHeight="1"/>
    <row r="791" ht="24.0" customHeight="1"/>
    <row r="792" ht="24.0" customHeight="1"/>
    <row r="793" ht="24.0" customHeight="1"/>
    <row r="794" ht="24.0" customHeight="1"/>
    <row r="795" ht="24.0" customHeight="1"/>
    <row r="796" ht="24.0" customHeight="1"/>
    <row r="797" ht="24.0" customHeight="1"/>
    <row r="798" ht="24.0" customHeight="1"/>
    <row r="799" ht="24.0" customHeight="1"/>
    <row r="800" ht="24.0" customHeight="1"/>
    <row r="801" ht="24.0" customHeight="1"/>
    <row r="802" ht="24.0" customHeight="1"/>
    <row r="803" ht="24.0" customHeight="1"/>
    <row r="804" ht="24.0" customHeight="1"/>
    <row r="805" ht="24.0" customHeight="1"/>
    <row r="806" ht="24.0" customHeight="1"/>
    <row r="807" ht="24.0" customHeight="1"/>
    <row r="808" ht="24.0" customHeight="1"/>
    <row r="809" ht="24.0" customHeight="1"/>
    <row r="810" ht="24.0" customHeight="1"/>
    <row r="811" ht="24.0" customHeight="1"/>
    <row r="812" ht="24.0" customHeight="1"/>
    <row r="813" ht="24.0" customHeight="1"/>
    <row r="814" ht="24.0" customHeight="1"/>
    <row r="815" ht="24.0" customHeight="1"/>
    <row r="816" ht="24.0" customHeight="1"/>
    <row r="817" ht="24.0" customHeight="1"/>
    <row r="818" ht="24.0" customHeight="1"/>
    <row r="819" ht="24.0" customHeight="1"/>
    <row r="820" ht="24.0" customHeight="1"/>
    <row r="821" ht="24.0" customHeight="1"/>
    <row r="822" ht="24.0" customHeight="1"/>
    <row r="823" ht="24.0" customHeight="1"/>
    <row r="824" ht="24.0" customHeight="1"/>
    <row r="825" ht="24.0" customHeight="1"/>
    <row r="826" ht="24.0" customHeight="1"/>
    <row r="827" ht="24.0" customHeight="1"/>
    <row r="828" ht="24.0" customHeight="1"/>
    <row r="829" ht="24.0" customHeight="1"/>
    <row r="830" ht="24.0" customHeight="1"/>
    <row r="831" ht="24.0" customHeight="1"/>
    <row r="832" ht="24.0" customHeight="1"/>
    <row r="833" ht="24.0" customHeight="1"/>
    <row r="834" ht="24.0" customHeight="1"/>
    <row r="835" ht="24.0" customHeight="1"/>
    <row r="836" ht="24.0" customHeight="1"/>
    <row r="837" ht="24.0" customHeight="1"/>
    <row r="838" ht="24.0" customHeight="1"/>
    <row r="839" ht="24.0" customHeight="1"/>
    <row r="840" ht="24.0" customHeight="1"/>
    <row r="841" ht="24.0" customHeight="1"/>
    <row r="842" ht="24.0" customHeight="1"/>
    <row r="843" ht="24.0" customHeight="1"/>
    <row r="844" ht="24.0" customHeight="1"/>
    <row r="845" ht="24.0" customHeight="1"/>
    <row r="846" ht="24.0" customHeight="1"/>
    <row r="847" ht="24.0" customHeight="1"/>
    <row r="848" ht="24.0" customHeight="1"/>
    <row r="849" ht="24.0" customHeight="1"/>
    <row r="850" ht="24.0" customHeight="1"/>
    <row r="851" ht="24.0" customHeight="1"/>
    <row r="852" ht="24.0" customHeight="1"/>
    <row r="853" ht="24.0" customHeight="1"/>
    <row r="854" ht="24.0" customHeight="1"/>
    <row r="855" ht="24.0" customHeight="1"/>
    <row r="856" ht="24.0" customHeight="1"/>
    <row r="857" ht="24.0" customHeight="1"/>
    <row r="858" ht="24.0" customHeight="1"/>
    <row r="859" ht="24.0" customHeight="1"/>
    <row r="860" ht="24.0" customHeight="1"/>
    <row r="861" ht="24.0" customHeight="1"/>
    <row r="862" ht="24.0" customHeight="1"/>
    <row r="863" ht="24.0" customHeight="1"/>
    <row r="864" ht="24.0" customHeight="1"/>
    <row r="865" ht="24.0" customHeight="1"/>
    <row r="866" ht="24.0" customHeight="1"/>
    <row r="867" ht="24.0" customHeight="1"/>
    <row r="868" ht="24.0" customHeight="1"/>
    <row r="869" ht="24.0" customHeight="1"/>
    <row r="870" ht="24.0" customHeight="1"/>
    <row r="871" ht="24.0" customHeight="1"/>
    <row r="872" ht="24.0" customHeight="1"/>
    <row r="873" ht="24.0" customHeight="1"/>
    <row r="874" ht="24.0" customHeight="1"/>
    <row r="875" ht="24.0" customHeight="1"/>
    <row r="876" ht="24.0" customHeight="1"/>
    <row r="877" ht="24.0" customHeight="1"/>
    <row r="878" ht="24.0" customHeight="1"/>
    <row r="879" ht="24.0" customHeight="1"/>
    <row r="880" ht="24.0" customHeight="1"/>
    <row r="881" ht="24.0" customHeight="1"/>
    <row r="882" ht="24.0" customHeight="1"/>
    <row r="883" ht="24.0" customHeight="1"/>
    <row r="884" ht="24.0" customHeight="1"/>
    <row r="885" ht="24.0" customHeight="1"/>
    <row r="886" ht="24.0" customHeight="1"/>
    <row r="887" ht="24.0" customHeight="1"/>
    <row r="888" ht="24.0" customHeight="1"/>
    <row r="889" ht="24.0" customHeight="1"/>
    <row r="890" ht="24.0" customHeight="1"/>
    <row r="891" ht="24.0" customHeight="1"/>
    <row r="892" ht="24.0" customHeight="1"/>
    <row r="893" ht="24.0" customHeight="1"/>
    <row r="894" ht="24.0" customHeight="1"/>
    <row r="895" ht="24.0" customHeight="1"/>
    <row r="896" ht="24.0" customHeight="1"/>
    <row r="897" ht="24.0" customHeight="1"/>
    <row r="898" ht="24.0" customHeight="1"/>
    <row r="899" ht="24.0" customHeight="1"/>
    <row r="900" ht="24.0" customHeight="1"/>
    <row r="901" ht="24.0" customHeight="1"/>
    <row r="902" ht="24.0" customHeight="1"/>
    <row r="903" ht="24.0" customHeight="1"/>
    <row r="904" ht="24.0" customHeight="1"/>
    <row r="905" ht="24.0" customHeight="1"/>
    <row r="906" ht="24.0" customHeight="1"/>
    <row r="907" ht="24.0" customHeight="1"/>
    <row r="908" ht="24.0" customHeight="1"/>
    <row r="909" ht="24.0" customHeight="1"/>
    <row r="910" ht="24.0" customHeight="1"/>
    <row r="911" ht="24.0" customHeight="1"/>
    <row r="912" ht="24.0" customHeight="1"/>
    <row r="913" ht="24.0" customHeight="1"/>
    <row r="914" ht="24.0" customHeight="1"/>
    <row r="915" ht="24.0" customHeight="1"/>
    <row r="916" ht="24.0" customHeight="1"/>
    <row r="917" ht="24.0" customHeight="1"/>
    <row r="918" ht="24.0" customHeight="1"/>
    <row r="919" ht="24.0" customHeight="1"/>
    <row r="920" ht="24.0" customHeight="1"/>
    <row r="921" ht="24.0" customHeight="1"/>
    <row r="922" ht="24.0" customHeight="1"/>
    <row r="923" ht="24.0" customHeight="1"/>
    <row r="924" ht="24.0" customHeight="1"/>
    <row r="925" ht="24.0" customHeight="1"/>
    <row r="926" ht="24.0" customHeight="1"/>
    <row r="927" ht="24.0" customHeight="1"/>
    <row r="928" ht="24.0" customHeight="1"/>
    <row r="929" ht="24.0" customHeight="1"/>
    <row r="930" ht="24.0" customHeight="1"/>
    <row r="931" ht="24.0" customHeight="1"/>
    <row r="932" ht="24.0" customHeight="1"/>
    <row r="933" ht="24.0" customHeight="1"/>
    <row r="934" ht="24.0" customHeight="1"/>
    <row r="935" ht="24.0" customHeight="1"/>
    <row r="936" ht="24.0" customHeight="1"/>
    <row r="937" ht="24.0" customHeight="1"/>
    <row r="938" ht="24.0" customHeight="1"/>
    <row r="939" ht="24.0" customHeight="1"/>
    <row r="940" ht="24.0" customHeight="1"/>
    <row r="941" ht="24.0" customHeight="1"/>
    <row r="942" ht="24.0" customHeight="1"/>
    <row r="943" ht="24.0" customHeight="1"/>
    <row r="944" ht="24.0" customHeight="1"/>
    <row r="945" ht="24.0" customHeight="1"/>
    <row r="946" ht="24.0" customHeight="1"/>
    <row r="947" ht="24.0" customHeight="1"/>
    <row r="948" ht="24.0" customHeight="1"/>
    <row r="949" ht="24.0" customHeight="1"/>
    <row r="950" ht="24.0" customHeight="1"/>
    <row r="951" ht="24.0" customHeight="1"/>
    <row r="952" ht="24.0" customHeight="1"/>
    <row r="953" ht="24.0" customHeight="1"/>
    <row r="954" ht="24.0" customHeight="1"/>
    <row r="955" ht="24.0" customHeight="1"/>
    <row r="956" ht="24.0" customHeight="1"/>
    <row r="957" ht="24.0" customHeight="1"/>
    <row r="958" ht="24.0" customHeight="1"/>
    <row r="959" ht="24.0" customHeight="1"/>
    <row r="960" ht="24.0" customHeight="1"/>
    <row r="961" ht="24.0" customHeight="1"/>
    <row r="962" ht="24.0" customHeight="1"/>
    <row r="963" ht="24.0" customHeight="1"/>
    <row r="964" ht="24.0" customHeight="1"/>
    <row r="965" ht="24.0" customHeight="1"/>
    <row r="966" ht="24.0" customHeight="1"/>
    <row r="967" ht="24.0" customHeight="1"/>
    <row r="968" ht="24.0" customHeight="1"/>
    <row r="969" ht="24.0" customHeight="1"/>
    <row r="970" ht="24.0" customHeight="1"/>
    <row r="971" ht="24.0" customHeight="1"/>
    <row r="972" ht="24.0" customHeight="1"/>
    <row r="973" ht="24.0" customHeight="1"/>
    <row r="974" ht="24.0" customHeight="1"/>
    <row r="975" ht="24.0" customHeight="1"/>
    <row r="976" ht="24.0" customHeight="1"/>
    <row r="977" ht="24.0" customHeight="1"/>
    <row r="978" ht="24.0" customHeight="1"/>
    <row r="979" ht="24.0" customHeight="1"/>
    <row r="980" ht="24.0" customHeight="1"/>
    <row r="981" ht="24.0" customHeight="1"/>
    <row r="982" ht="24.0" customHeight="1"/>
    <row r="983" ht="24.0" customHeight="1"/>
    <row r="984" ht="24.0" customHeight="1"/>
    <row r="985" ht="24.0" customHeight="1"/>
    <row r="986" ht="24.0" customHeight="1"/>
    <row r="987" ht="24.0" customHeight="1"/>
    <row r="988" ht="24.0" customHeight="1"/>
    <row r="989" ht="24.0" customHeight="1"/>
    <row r="990" ht="24.0" customHeight="1"/>
    <row r="991" ht="24.0" customHeight="1"/>
    <row r="992" ht="24.0" customHeight="1"/>
    <row r="993" ht="24.0" customHeight="1"/>
    <row r="994" ht="24.0" customHeight="1"/>
    <row r="995" ht="24.0" customHeight="1"/>
    <row r="996" ht="24.0" customHeight="1"/>
    <row r="997" ht="24.0" customHeight="1"/>
    <row r="998" ht="24.0" customHeight="1"/>
    <row r="999" ht="24.0" customHeight="1"/>
    <row r="1000" ht="24.0" customHeight="1"/>
  </sheetData>
  <printOptions/>
  <pageMargins bottom="0.75" footer="0.0" header="0.0" left="0.7" right="0.7" top="0.75"/>
  <pageSetup orientation="landscape"/>
  <drawing r:id="rId1"/>
</worksheet>
</file>