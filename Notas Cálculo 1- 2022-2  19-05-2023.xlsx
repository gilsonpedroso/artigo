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0" sheetId="1" r:id="rId5"/>
  </sheets>
  <definedNames/>
  <calcPr/>
</workbook>
</file>

<file path=xl/sharedStrings.xml><?xml version="1.0" encoding="utf-8"?>
<sst xmlns="http://schemas.openxmlformats.org/spreadsheetml/2006/main" count="226" uniqueCount="188">
  <si>
    <t>Cálculo 1- 2022-2</t>
  </si>
  <si>
    <t/>
  </si>
  <si>
    <t>31 de jan.</t>
  </si>
  <si>
    <t>03 de fev.</t>
  </si>
  <si>
    <t>10 de fev.</t>
  </si>
  <si>
    <t>17 de fev.</t>
  </si>
  <si>
    <t>24 de fev.</t>
  </si>
  <si>
    <t>24 de mar.</t>
  </si>
  <si>
    <t>31 de mar.</t>
  </si>
  <si>
    <t>21 de abr.</t>
  </si>
  <si>
    <t>12 de mai.</t>
  </si>
  <si>
    <t>17 de mai.</t>
  </si>
  <si>
    <t>prova 1</t>
  </si>
  <si>
    <t>prova 2</t>
  </si>
  <si>
    <t>prova 3</t>
  </si>
  <si>
    <t>prova 4</t>
  </si>
  <si>
    <t>Método de compensar as aulas</t>
  </si>
  <si>
    <t>lista 1</t>
  </si>
  <si>
    <t>lista 2</t>
  </si>
  <si>
    <t>lista 3</t>
  </si>
  <si>
    <t>lista 4</t>
  </si>
  <si>
    <t>lista 5</t>
  </si>
  <si>
    <t>lista 6</t>
  </si>
  <si>
    <t>lista 7</t>
  </si>
  <si>
    <t>lista 8</t>
  </si>
  <si>
    <t>lista 9</t>
  </si>
  <si>
    <t>nota ab2</t>
  </si>
  <si>
    <t>Média da turma</t>
  </si>
  <si>
    <t>medio listas</t>
  </si>
  <si>
    <t>medio nota</t>
  </si>
  <si>
    <t>dos Santos Mesquita</t>
  </si>
  <si>
    <t xml:space="preserve">Adeilton </t>
  </si>
  <si>
    <t>asm4@ic.ufal.br</t>
  </si>
  <si>
    <t>Silva</t>
  </si>
  <si>
    <t>Aldiandre</t>
  </si>
  <si>
    <t>aldiandre.silva@ceca.ufal.br</t>
  </si>
  <si>
    <t>Amaral Lessa</t>
  </si>
  <si>
    <t>Aryel Sharon</t>
  </si>
  <si>
    <t>asal@ic.ufal.br</t>
  </si>
  <si>
    <t>Lima Marques</t>
  </si>
  <si>
    <t xml:space="preserve">Athisson Alberto </t>
  </si>
  <si>
    <t>aalm@ic.ufal.br</t>
  </si>
  <si>
    <t>Azevedo</t>
  </si>
  <si>
    <t>kivynha.rodrigues@gmail.com</t>
  </si>
  <si>
    <t>Oliveira</t>
  </si>
  <si>
    <t>Caio</t>
  </si>
  <si>
    <t>caioanjos2022@gmail.com</t>
  </si>
  <si>
    <t>Feitosa Romeiro</t>
  </si>
  <si>
    <t>Claudio Samuel</t>
  </si>
  <si>
    <t>csfr@ic.ufal.br</t>
  </si>
  <si>
    <t>Bastos de Oliveira</t>
  </si>
  <si>
    <t>Diego Matheus</t>
  </si>
  <si>
    <t>diego.matheus9233@gmail.com</t>
  </si>
  <si>
    <t xml:space="preserve"> Calheiros Neto</t>
  </si>
  <si>
    <t>Dimario Cavalcante</t>
  </si>
  <si>
    <t>dccn@ic.ufal.br</t>
  </si>
  <si>
    <t>Araújo</t>
  </si>
  <si>
    <t>Eduardo</t>
  </si>
  <si>
    <t>duduaraujo327@gmail.com</t>
  </si>
  <si>
    <t>Rocha</t>
  </si>
  <si>
    <t>Emily</t>
  </si>
  <si>
    <t>emilyrochasmc@gmail.com</t>
  </si>
  <si>
    <t xml:space="preserve"> MIRINDUBA DOS SANTOS</t>
  </si>
  <si>
    <t>FERNANDO MATHEUS</t>
  </si>
  <si>
    <t>fmms@ic.ufal.br</t>
  </si>
  <si>
    <t>da Silva Mendonça</t>
  </si>
  <si>
    <t>Flávio Alberto</t>
  </si>
  <si>
    <t>fasm@ic.ufal.br</t>
  </si>
  <si>
    <t>Oliveira Pereira dos Santos</t>
  </si>
  <si>
    <t xml:space="preserve">Francys Samuel </t>
  </si>
  <si>
    <t>fsops@ic.ufal.br</t>
  </si>
  <si>
    <t>Rocha Ferreira</t>
  </si>
  <si>
    <t>Gervasio</t>
  </si>
  <si>
    <t>grf@ic.ufal.br</t>
  </si>
  <si>
    <t>Hélvio</t>
  </si>
  <si>
    <t>helvio.grazinha@gmail.com</t>
  </si>
  <si>
    <t>GONCALVES DOS SANTOS</t>
  </si>
  <si>
    <t xml:space="preserve">JULIA </t>
  </si>
  <si>
    <t>jugs@ic.ufal.br</t>
  </si>
  <si>
    <t xml:space="preserve"> dos Santos Neto </t>
  </si>
  <si>
    <t>Jader Rogerio</t>
  </si>
  <si>
    <t>jrsn@ic.ufal.br</t>
  </si>
  <si>
    <t>Correia</t>
  </si>
  <si>
    <t>Jhonatan</t>
  </si>
  <si>
    <t>jhonatan.correia@ceca.ufal.br</t>
  </si>
  <si>
    <t>Mesquita Santos</t>
  </si>
  <si>
    <t>Joenne</t>
  </si>
  <si>
    <t>jmc@ic.ufal.br</t>
  </si>
  <si>
    <t>Lessa</t>
  </si>
  <si>
    <t>Kauã</t>
  </si>
  <si>
    <t>kauajoestar@gmail.com</t>
  </si>
  <si>
    <t>FERNANDO DA SILVA PORTUGUES</t>
  </si>
  <si>
    <t xml:space="preserve">LUCAS </t>
  </si>
  <si>
    <t>lfspo@ic.ufal.br</t>
  </si>
  <si>
    <t>Calazans</t>
  </si>
  <si>
    <t>Laryssa</t>
  </si>
  <si>
    <t>laryssacalazans2004@gmail.com</t>
  </si>
  <si>
    <t xml:space="preserve">Lima Albuquerque	</t>
  </si>
  <si>
    <t>Leandro</t>
  </si>
  <si>
    <t>lla@ic.ufal.br</t>
  </si>
  <si>
    <t>Holanda de Paula</t>
  </si>
  <si>
    <t>Leonardo Lucca</t>
  </si>
  <si>
    <t>leolucca62@gmail.com</t>
  </si>
  <si>
    <t>Farias da Silva</t>
  </si>
  <si>
    <t>Levi</t>
  </si>
  <si>
    <t>lfs@ic.ufal.br</t>
  </si>
  <si>
    <t>Momesso Alves</t>
  </si>
  <si>
    <t xml:space="preserve">Lucas </t>
  </si>
  <si>
    <t>lma@ic.ufal.br</t>
  </si>
  <si>
    <t>Silva dos Santos</t>
  </si>
  <si>
    <t>Lucas Vinicius</t>
  </si>
  <si>
    <t>lvss@ic.ufal.br</t>
  </si>
  <si>
    <t>Barbosa Bispo</t>
  </si>
  <si>
    <t xml:space="preserve">Maisa </t>
  </si>
  <si>
    <t>mbb@ic.ufal.br</t>
  </si>
  <si>
    <t>Pedro</t>
  </si>
  <si>
    <t>Matheus</t>
  </si>
  <si>
    <t>matheuspedrodasilva2023@gmail.com</t>
  </si>
  <si>
    <t xml:space="preserve">Fernandes Dantas	</t>
  </si>
  <si>
    <t xml:space="preserve">Matheus </t>
  </si>
  <si>
    <t>mfd@ic.ufal.br</t>
  </si>
  <si>
    <t>Nathauan</t>
  </si>
  <si>
    <t>nathauan.azevedo@feac.ufal.br</t>
  </si>
  <si>
    <t>Alves</t>
  </si>
  <si>
    <t>Nelson</t>
  </si>
  <si>
    <t>detksama@hotmail.com</t>
  </si>
  <si>
    <t>Munih</t>
  </si>
  <si>
    <t>Pablo</t>
  </si>
  <si>
    <t>pablomunih6@gmail.com</t>
  </si>
  <si>
    <t>Henrique</t>
  </si>
  <si>
    <t>pedrorochabrasil@gmail.com</t>
  </si>
  <si>
    <t>Vieira Giló</t>
  </si>
  <si>
    <t>Pedro Henrique</t>
  </si>
  <si>
    <t>pedrohvg123@gmail.com</t>
  </si>
  <si>
    <t xml:space="preserve">Santos da Silva </t>
  </si>
  <si>
    <t xml:space="preserve">Pedro Henrique </t>
  </si>
  <si>
    <t>phss2@ic.ufal.br</t>
  </si>
  <si>
    <t>de Oliveira</t>
  </si>
  <si>
    <t>Plácido</t>
  </si>
  <si>
    <t>p.augustus12@gmail.com</t>
  </si>
  <si>
    <t>ANTONIO DA SILVA SANTOS</t>
  </si>
  <si>
    <t xml:space="preserve">RAFAEL </t>
  </si>
  <si>
    <t>rass@ic.ufal.br</t>
  </si>
  <si>
    <t>AMARAL SALEME</t>
  </si>
  <si>
    <t xml:space="preserve">RAFAEL JOSE </t>
  </si>
  <si>
    <t>rjas@ic.ufal.br</t>
  </si>
  <si>
    <t>PINTO CARDOSO JUNIOR</t>
  </si>
  <si>
    <t xml:space="preserve">RICARDO </t>
  </si>
  <si>
    <t>rpcj@ic.ufal.br</t>
  </si>
  <si>
    <t>Ferreira</t>
  </si>
  <si>
    <t>Raniel</t>
  </si>
  <si>
    <t>ranielferreiraathayde@gmail.com</t>
  </si>
  <si>
    <t>Antônio da Silva Gaião</t>
  </si>
  <si>
    <t>Rian</t>
  </si>
  <si>
    <t>rian.antoniosvgaiao@gmail.com</t>
  </si>
  <si>
    <t>De Paula</t>
  </si>
  <si>
    <t>Robson</t>
  </si>
  <si>
    <t>rob18012003@gmail.com</t>
  </si>
  <si>
    <t>Lopes</t>
  </si>
  <si>
    <t>Ronald</t>
  </si>
  <si>
    <t>fkulook5@gmail.com</t>
  </si>
  <si>
    <t>DA SILVA LIMA</t>
  </si>
  <si>
    <t xml:space="preserve">STEVEN DAVIS </t>
  </si>
  <si>
    <t>sdsl@ic.ufal.br</t>
  </si>
  <si>
    <t>Cipriano da Silva</t>
  </si>
  <si>
    <t>Samuel Thomas</t>
  </si>
  <si>
    <t>tscs@ic.ufal.br</t>
  </si>
  <si>
    <t>Santos</t>
  </si>
  <si>
    <t>Thiago</t>
  </si>
  <si>
    <t>ogaihtk6@gmail.com</t>
  </si>
  <si>
    <t xml:space="preserve">dos Santos 	</t>
  </si>
  <si>
    <t xml:space="preserve">Thiago </t>
  </si>
  <si>
    <t>ts@ic.ufal.br</t>
  </si>
  <si>
    <t>Marques Laurentino</t>
  </si>
  <si>
    <t xml:space="preserve">Thiago Fellype </t>
  </si>
  <si>
    <t>tfml@ic.ufal.br</t>
  </si>
  <si>
    <t>Rodrigues da Silva</t>
  </si>
  <si>
    <t>Théo Luiz</t>
  </si>
  <si>
    <t>theoluiz5637@gmail.com</t>
  </si>
  <si>
    <t xml:space="preserve"> Souza Sales</t>
  </si>
  <si>
    <t>Ycaro Bruno</t>
  </si>
  <si>
    <t>ybss@ic.ufal.br</t>
  </si>
  <si>
    <t>trollsgamer</t>
  </si>
  <si>
    <t>ricardo</t>
  </si>
  <si>
    <t>rickslender557@gmail.com</t>
  </si>
  <si>
    <t>Sales</t>
  </si>
  <si>
    <t>ycaro</t>
  </si>
  <si>
    <t>ycaro00287@gmail.com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</si>
</sst>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0.0#%"/>
    <numFmt numFmtId="165" formatCode="0.0#"/>
  </numFmts>
  <fonts count="11">
    <font>
      <sz val="11.0"/>
      <color rgb="FF000000"/>
      <name val="Calibri"/>
      <scheme val="minor"/>
    </font>
    <font>
      <b/>
      <sz val="14.0"/>
      <color rgb="FFFFFFFF"/>
      <name val="Roboto"/>
    </font>
    <font>
      <sz val="10.0"/>
      <color rgb="FFFFFFFF"/>
      <name val="Roboto"/>
    </font>
    <font>
      <sz val="14.0"/>
      <color rgb="FFFFFFFF"/>
      <name val="Roboto"/>
    </font>
    <font>
      <b/>
      <sz val="10.0"/>
      <color rgb="FFFFFFFF"/>
      <name val="Roboto"/>
    </font>
    <font>
      <u/>
      <sz val="10.0"/>
      <color rgb="FFFFFFFF"/>
      <name val="Arial"/>
    </font>
    <font>
      <sz val="10.0"/>
      <color rgb="FFFFFFFF"/>
      <name val="Arial"/>
    </font>
    <font>
      <color theme="1"/>
      <name val="Calibri"/>
      <scheme val="minor"/>
    </font>
    <font>
      <b/>
      <sz val="10.0"/>
      <color theme="1"/>
      <name val="Roboto"/>
    </font>
    <font>
      <sz val="10.0"/>
      <color rgb="FF808080"/>
      <name val="Roboto"/>
    </font>
    <font>
      <sz val="10.0"/>
      <color theme="1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4285F4"/>
        <bgColor rgb="FF4285F4"/>
      </patternFill>
    </fill>
    <fill>
      <patternFill patternType="solid">
        <fgColor rgb="FF434343"/>
        <bgColor rgb="FF434343"/>
      </patternFill>
    </fill>
    <fill>
      <patternFill patternType="solid">
        <fgColor rgb="FFEEEEEE"/>
        <bgColor rgb="FFEEEEEE"/>
      </patternFill>
    </fill>
  </fills>
  <borders count="3">
    <border/>
    <border>
      <left style="thin">
        <color rgb="FF4285F4"/>
      </left>
      <right style="thin">
        <color rgb="FF4285F4"/>
      </right>
      <top style="thin">
        <color rgb="FF4285F4"/>
      </top>
      <bottom style="thin">
        <color rgb="FF4285F4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1" fillId="2" fontId="2" numFmtId="0" xfId="0" applyAlignment="1" applyBorder="1" applyFont="1">
      <alignment horizontal="left" vertical="center"/>
    </xf>
    <xf borderId="1" fillId="2" fontId="3" numFmtId="0" xfId="0" applyAlignment="1" applyBorder="1" applyFont="1">
      <alignment horizontal="left" vertical="center"/>
    </xf>
    <xf borderId="1" fillId="2" fontId="4" numFmtId="0" xfId="0" applyAlignment="1" applyBorder="1" applyFont="1">
      <alignment horizontal="left" shrinkToFit="0" vertical="center" wrapText="1"/>
    </xf>
    <xf borderId="1" fillId="2" fontId="5" numFmtId="0" xfId="0" applyAlignment="1" applyBorder="1" applyFont="1">
      <alignment horizontal="left" vertical="center"/>
    </xf>
    <xf borderId="1" fillId="2" fontId="6" numFmtId="0" xfId="0" applyAlignment="1" applyBorder="1" applyFont="1">
      <alignment horizontal="left" vertical="center"/>
    </xf>
    <xf borderId="2" fillId="3" fontId="2" numFmtId="0" xfId="0" applyAlignment="1" applyBorder="1" applyFill="1" applyFont="1">
      <alignment horizontal="left" shrinkToFit="0" vertical="center" wrapText="1"/>
    </xf>
    <xf borderId="0" fillId="0" fontId="7" numFmtId="0" xfId="0" applyAlignment="1" applyFont="1">
      <alignment readingOrder="0"/>
    </xf>
    <xf borderId="2" fillId="4" fontId="8" numFmtId="0" xfId="0" applyAlignment="1" applyBorder="1" applyFill="1" applyFont="1">
      <alignment horizontal="left" vertical="center"/>
    </xf>
    <xf borderId="2" fillId="4" fontId="9" numFmtId="164" xfId="0" applyAlignment="1" applyBorder="1" applyFont="1" applyNumberFormat="1">
      <alignment horizontal="left" vertical="center"/>
    </xf>
    <xf borderId="2" fillId="4" fontId="10" numFmtId="165" xfId="0" applyAlignment="1" applyBorder="1" applyFont="1" applyNumberFormat="1">
      <alignment horizontal="left" vertical="center"/>
    </xf>
    <xf borderId="0" fillId="0" fontId="10" numFmtId="0" xfId="0" applyAlignment="1" applyFont="1">
      <alignment horizontal="left" vertical="center"/>
    </xf>
    <xf borderId="0" fillId="0" fontId="9" numFmtId="164" xfId="0" applyAlignment="1" applyFont="1" applyNumberFormat="1">
      <alignment horizontal="left" vertical="center"/>
    </xf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5.0" topLeftCell="E6" activePane="bottomRight" state="frozen"/>
      <selection activeCell="E1" sqref="E1" pane="topRight"/>
      <selection activeCell="A6" sqref="A6" pane="bottomLeft"/>
      <selection activeCell="E6" sqref="E6" pane="bottomRight"/>
    </sheetView>
  </sheetViews>
  <sheetFormatPr customHeight="1" defaultColWidth="14.43" defaultRowHeight="15.0"/>
  <cols>
    <col customWidth="1" min="1" max="3" width="16.0"/>
    <col customWidth="1" min="4" max="4" width="8.0"/>
    <col customWidth="1" min="5" max="5" width="20.0"/>
    <col customWidth="1" min="6" max="6" width="20.71"/>
    <col customWidth="1" min="7" max="7" width="13.29"/>
    <col customWidth="1" min="8" max="8" width="7.14"/>
    <col customWidth="1" min="9" max="9" width="4.71"/>
    <col customWidth="1" min="10" max="10" width="5.86"/>
    <col customWidth="1" min="11" max="11" width="8.71"/>
    <col customWidth="1" min="12" max="13" width="5.43"/>
    <col customWidth="1" min="14" max="15" width="3.86"/>
    <col customWidth="1" min="16" max="16" width="8.86"/>
    <col customWidth="1" min="17" max="17" width="4.29"/>
    <col customWidth="1" min="18" max="18" width="6.57"/>
    <col customWidth="1" min="19" max="20" width="0.43"/>
    <col customWidth="1" min="21" max="26" width="8.71"/>
  </cols>
  <sheetData>
    <row r="1" ht="24.0" customHeight="1">
      <c r="A1" s="1" t="s">
        <v>0</v>
      </c>
      <c r="B1" s="1" t="s">
        <v>1</v>
      </c>
      <c r="C1" s="1" t="s">
        <v>1</v>
      </c>
      <c r="D1" s="1" t="s">
        <v>1</v>
      </c>
      <c r="E1" s="2" t="s">
        <v>1</v>
      </c>
      <c r="F1" s="2" t="s">
        <v>1</v>
      </c>
      <c r="G1" s="2" t="s">
        <v>1</v>
      </c>
      <c r="H1" s="2" t="s">
        <v>1</v>
      </c>
      <c r="I1" s="2" t="s">
        <v>2</v>
      </c>
      <c r="J1" s="2" t="s">
        <v>3</v>
      </c>
      <c r="K1" s="2" t="s">
        <v>4</v>
      </c>
      <c r="L1" s="2" t="s">
        <v>5</v>
      </c>
      <c r="M1" s="2" t="s">
        <v>6</v>
      </c>
      <c r="N1" s="2" t="s">
        <v>7</v>
      </c>
      <c r="O1" s="2" t="s">
        <v>8</v>
      </c>
      <c r="P1" s="2" t="s">
        <v>9</v>
      </c>
      <c r="Q1" s="2" t="s">
        <v>10</v>
      </c>
      <c r="R1" s="2" t="s">
        <v>11</v>
      </c>
    </row>
    <row r="2" ht="24.0" customHeight="1">
      <c r="A2" s="3" t="s">
        <v>1</v>
      </c>
      <c r="B2" s="3" t="s">
        <v>1</v>
      </c>
      <c r="C2" s="3" t="s">
        <v>1</v>
      </c>
      <c r="D2" s="3" t="s">
        <v>1</v>
      </c>
      <c r="E2" s="4" t="s">
        <v>12</v>
      </c>
      <c r="F2" s="4" t="s">
        <v>13</v>
      </c>
      <c r="G2" s="4" t="s">
        <v>14</v>
      </c>
      <c r="H2" s="4" t="s">
        <v>15</v>
      </c>
      <c r="I2" s="4" t="s">
        <v>16</v>
      </c>
      <c r="J2" s="4" t="s">
        <v>17</v>
      </c>
      <c r="K2" s="4" t="s">
        <v>18</v>
      </c>
      <c r="L2" s="4" t="s">
        <v>19</v>
      </c>
      <c r="M2" s="4" t="s">
        <v>20</v>
      </c>
      <c r="N2" s="4" t="s">
        <v>21</v>
      </c>
      <c r="O2" s="4" t="s">
        <v>22</v>
      </c>
      <c r="P2" s="4" t="s">
        <v>23</v>
      </c>
      <c r="Q2" s="4" t="s">
        <v>24</v>
      </c>
      <c r="R2" s="4" t="s">
        <v>25</v>
      </c>
    </row>
    <row r="3" ht="24.0" customHeight="1">
      <c r="A3" s="5" t="str">
        <f>hyperlink("https://classroom.google.com/c/NTg0MTg3Mzc4NTAy", upper("Abrir sala de aula"))</f>
        <v>ABRIR SALA DE AULA</v>
      </c>
      <c r="B3" s="6" t="s">
        <v>1</v>
      </c>
      <c r="C3" s="6" t="s">
        <v>1</v>
      </c>
      <c r="D3" s="6" t="s">
        <v>1</v>
      </c>
      <c r="E3" s="2">
        <v>100.0</v>
      </c>
      <c r="F3" s="2">
        <v>100.0</v>
      </c>
      <c r="G3" s="2">
        <v>100.0</v>
      </c>
      <c r="H3" s="2">
        <v>100.0</v>
      </c>
      <c r="I3" s="2">
        <v>100.0</v>
      </c>
      <c r="J3" s="2">
        <v>100.0</v>
      </c>
      <c r="K3" s="2">
        <v>100.0</v>
      </c>
      <c r="L3" s="2">
        <v>100.0</v>
      </c>
      <c r="M3" s="2">
        <v>100.0</v>
      </c>
      <c r="N3" s="2">
        <v>100.0</v>
      </c>
      <c r="O3" s="2">
        <v>100.0</v>
      </c>
      <c r="P3" s="2">
        <v>100.0</v>
      </c>
      <c r="Q3" s="2">
        <v>100.0</v>
      </c>
      <c r="R3" s="2">
        <v>100.0</v>
      </c>
    </row>
    <row r="4" ht="24.0" customHeight="1">
      <c r="A4" s="7" t="s">
        <v>1</v>
      </c>
      <c r="B4" s="7" t="s">
        <v>1</v>
      </c>
      <c r="C4" s="7" t="s">
        <v>1</v>
      </c>
      <c r="D4" s="7" t="s">
        <v>1</v>
      </c>
      <c r="E4" s="7" t="s">
        <v>1</v>
      </c>
      <c r="F4" s="7" t="s">
        <v>1</v>
      </c>
      <c r="G4" s="7" t="s">
        <v>1</v>
      </c>
      <c r="H4" s="7" t="s">
        <v>1</v>
      </c>
      <c r="I4" s="7" t="s">
        <v>1</v>
      </c>
      <c r="J4" s="7" t="s">
        <v>1</v>
      </c>
      <c r="K4" s="7" t="s">
        <v>1</v>
      </c>
      <c r="L4" s="7" t="s">
        <v>1</v>
      </c>
      <c r="M4" s="7" t="s">
        <v>1</v>
      </c>
      <c r="N4" s="7" t="s">
        <v>1</v>
      </c>
      <c r="O4" s="7" t="s">
        <v>1</v>
      </c>
      <c r="P4" s="7" t="s">
        <v>1</v>
      </c>
      <c r="Q4" s="7" t="s">
        <v>1</v>
      </c>
      <c r="R4" s="7" t="s">
        <v>1</v>
      </c>
      <c r="S4" s="8" t="s">
        <v>26</v>
      </c>
    </row>
    <row r="5" ht="24.0" customHeight="1">
      <c r="A5" s="9" t="s">
        <v>27</v>
      </c>
      <c r="B5" s="9" t="s">
        <v>1</v>
      </c>
      <c r="C5" s="9" t="s">
        <v>1</v>
      </c>
      <c r="D5" s="10">
        <f>iferror(sumifs(E5:R5,E5:R5,"&lt;&gt;",E4:R4,"")/sumifs(E3:R3,E5:R5,"&lt;&gt;",E4:R4,""),"")</f>
        <v>0.6751109497</v>
      </c>
      <c r="E5" s="11">
        <f t="shared" ref="E5:R5" si="1">iferror(average(E6:E59),"")</f>
        <v>29.86046512</v>
      </c>
      <c r="F5" s="11">
        <f t="shared" si="1"/>
        <v>43</v>
      </c>
      <c r="G5" s="11">
        <f t="shared" si="1"/>
        <v>29.64864865</v>
      </c>
      <c r="H5" s="11">
        <f t="shared" si="1"/>
        <v>38.07142857</v>
      </c>
      <c r="I5" s="11" t="str">
        <f t="shared" si="1"/>
        <v/>
      </c>
      <c r="J5" s="11">
        <f t="shared" si="1"/>
        <v>88.51219512</v>
      </c>
      <c r="K5" s="11">
        <f t="shared" si="1"/>
        <v>79.28571429</v>
      </c>
      <c r="L5" s="11">
        <f t="shared" si="1"/>
        <v>70.27272727</v>
      </c>
      <c r="M5" s="11">
        <f t="shared" si="1"/>
        <v>79.22222222</v>
      </c>
      <c r="N5" s="11">
        <f t="shared" si="1"/>
        <v>81.91666667</v>
      </c>
      <c r="O5" s="11">
        <f t="shared" si="1"/>
        <v>73.16666667</v>
      </c>
      <c r="P5" s="11">
        <f t="shared" si="1"/>
        <v>88.25</v>
      </c>
      <c r="Q5" s="11">
        <f t="shared" si="1"/>
        <v>88.125</v>
      </c>
      <c r="R5" s="11">
        <f t="shared" si="1"/>
        <v>88.3125</v>
      </c>
      <c r="S5" s="8" t="s">
        <v>28</v>
      </c>
      <c r="T5" s="8" t="s">
        <v>29</v>
      </c>
      <c r="U5" s="8" t="s">
        <v>26</v>
      </c>
    </row>
    <row r="6" ht="24.0" customHeight="1">
      <c r="A6" s="12" t="s">
        <v>30</v>
      </c>
      <c r="B6" s="12" t="s">
        <v>31</v>
      </c>
      <c r="C6" s="12" t="s">
        <v>32</v>
      </c>
      <c r="D6" s="13">
        <f>iferror(sumif(E6:R6,"&lt;&gt;")/sumif(E6:R6,"&lt;&gt;",E3:R3),"")</f>
        <v>0.7116666667</v>
      </c>
      <c r="E6" s="12">
        <v>9.0</v>
      </c>
      <c r="F6" s="12">
        <v>54.0</v>
      </c>
      <c r="G6" s="12">
        <v>35.0</v>
      </c>
      <c r="H6" s="12">
        <v>43.0</v>
      </c>
      <c r="I6" s="12"/>
      <c r="J6" s="12">
        <v>99.0</v>
      </c>
      <c r="K6" s="12">
        <v>98.0</v>
      </c>
      <c r="L6" s="12">
        <v>71.0</v>
      </c>
      <c r="M6" s="12"/>
      <c r="N6" s="12">
        <v>90.0</v>
      </c>
      <c r="O6" s="12">
        <v>75.0</v>
      </c>
      <c r="P6" s="12">
        <v>80.0</v>
      </c>
      <c r="Q6" s="12">
        <v>100.0</v>
      </c>
      <c r="R6" s="12">
        <v>100.0</v>
      </c>
      <c r="S6" s="14">
        <f t="shared" ref="S6:S61" si="2">(P6+Q6+R6)/3</f>
        <v>93.33333333</v>
      </c>
      <c r="T6" s="14">
        <f t="shared" ref="T6:T70" si="3">(G6+H6)/2</f>
        <v>39</v>
      </c>
      <c r="U6" s="14">
        <f t="shared" ref="U6:U70" si="4">S6*0.2+T6*0.8</f>
        <v>49.86666667</v>
      </c>
    </row>
    <row r="7" ht="24.0" customHeight="1">
      <c r="A7" s="12" t="s">
        <v>33</v>
      </c>
      <c r="B7" s="12" t="s">
        <v>34</v>
      </c>
      <c r="C7" s="12" t="s">
        <v>35</v>
      </c>
      <c r="D7" s="13">
        <f>iferror(sumif(E7:R7,"&lt;&gt;")/sumif(E7:R7,"&lt;&gt;",E3:R3),"")</f>
        <v>0.5691666667</v>
      </c>
      <c r="E7" s="12">
        <v>2.0</v>
      </c>
      <c r="F7" s="12">
        <v>5.0</v>
      </c>
      <c r="G7" s="12"/>
      <c r="H7" s="12"/>
      <c r="I7" s="12"/>
      <c r="J7" s="12">
        <v>91.0</v>
      </c>
      <c r="K7" s="12">
        <v>83.5</v>
      </c>
      <c r="L7" s="12">
        <v>70.0</v>
      </c>
      <c r="M7" s="12"/>
      <c r="N7" s="12"/>
      <c r="O7" s="12"/>
      <c r="P7" s="12">
        <v>90.0</v>
      </c>
      <c r="Q7" s="12"/>
      <c r="R7" s="12"/>
      <c r="S7" s="14">
        <f t="shared" si="2"/>
        <v>30</v>
      </c>
      <c r="T7" s="14">
        <f t="shared" si="3"/>
        <v>0</v>
      </c>
      <c r="U7" s="14">
        <f t="shared" si="4"/>
        <v>6</v>
      </c>
    </row>
    <row r="8" ht="24.0" customHeight="1">
      <c r="A8" s="12" t="s">
        <v>36</v>
      </c>
      <c r="B8" s="12" t="s">
        <v>37</v>
      </c>
      <c r="C8" s="12" t="s">
        <v>38</v>
      </c>
      <c r="D8" s="13" t="str">
        <f>iferror(sumif(E8:R8,"&lt;&gt;")/sumif(E8:R8,"&lt;&gt;",E3:R3),"")</f>
        <v/>
      </c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4">
        <f t="shared" si="2"/>
        <v>0</v>
      </c>
      <c r="T8" s="14">
        <f t="shared" si="3"/>
        <v>0</v>
      </c>
      <c r="U8" s="14">
        <f t="shared" si="4"/>
        <v>0</v>
      </c>
    </row>
    <row r="9" ht="24.0" customHeight="1">
      <c r="A9" s="12" t="s">
        <v>39</v>
      </c>
      <c r="B9" s="12" t="s">
        <v>40</v>
      </c>
      <c r="C9" s="12" t="s">
        <v>41</v>
      </c>
      <c r="D9" s="13">
        <f>iferror(sumif(E9:R9,"&lt;&gt;")/sumif(E9:R9,"&lt;&gt;",E3:R3),"")</f>
        <v>0.3511111111</v>
      </c>
      <c r="E9" s="12">
        <v>7.0</v>
      </c>
      <c r="F9" s="12">
        <v>37.0</v>
      </c>
      <c r="G9" s="12">
        <v>11.0</v>
      </c>
      <c r="H9" s="12">
        <v>0.0</v>
      </c>
      <c r="I9" s="12"/>
      <c r="J9" s="12">
        <v>74.0</v>
      </c>
      <c r="K9" s="12">
        <v>41.0</v>
      </c>
      <c r="L9" s="12">
        <v>60.0</v>
      </c>
      <c r="M9" s="12"/>
      <c r="N9" s="12">
        <v>26.0</v>
      </c>
      <c r="O9" s="12">
        <v>60.0</v>
      </c>
      <c r="P9" s="12"/>
      <c r="Q9" s="12"/>
      <c r="R9" s="12"/>
      <c r="S9" s="14">
        <f t="shared" si="2"/>
        <v>0</v>
      </c>
      <c r="T9" s="14">
        <f t="shared" si="3"/>
        <v>5.5</v>
      </c>
      <c r="U9" s="14">
        <f t="shared" si="4"/>
        <v>4.4</v>
      </c>
    </row>
    <row r="10" ht="24.0" customHeight="1">
      <c r="A10" s="12" t="s">
        <v>1</v>
      </c>
      <c r="B10" s="12" t="s">
        <v>42</v>
      </c>
      <c r="C10" s="12" t="s">
        <v>43</v>
      </c>
      <c r="D10" s="13" t="str">
        <f>iferror(sumif(E10:R10,"&lt;&gt;")/sumif(E10:R10,"&lt;&gt;",E3:R3),"")</f>
        <v/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4">
        <f t="shared" si="2"/>
        <v>0</v>
      </c>
      <c r="T10" s="14">
        <f t="shared" si="3"/>
        <v>0</v>
      </c>
      <c r="U10" s="14">
        <f t="shared" si="4"/>
        <v>0</v>
      </c>
    </row>
    <row r="11" ht="24.0" customHeight="1">
      <c r="A11" s="12" t="s">
        <v>44</v>
      </c>
      <c r="B11" s="12" t="s">
        <v>45</v>
      </c>
      <c r="C11" s="12" t="s">
        <v>46</v>
      </c>
      <c r="D11" s="13">
        <f>iferror(sumif(E11:R11,"&lt;&gt;")/sumif(E11:R11,"&lt;&gt;",E3:R3),"")</f>
        <v>0.5557142857</v>
      </c>
      <c r="E11" s="12">
        <v>3.0</v>
      </c>
      <c r="F11" s="12">
        <v>45.0</v>
      </c>
      <c r="G11" s="12">
        <v>13.0</v>
      </c>
      <c r="H11" s="12"/>
      <c r="I11" s="12"/>
      <c r="J11" s="12">
        <v>95.0</v>
      </c>
      <c r="K11" s="12">
        <v>85.5</v>
      </c>
      <c r="L11" s="12">
        <v>52.5</v>
      </c>
      <c r="M11" s="12">
        <v>95.0</v>
      </c>
      <c r="N11" s="12"/>
      <c r="O11" s="12"/>
      <c r="P11" s="12"/>
      <c r="Q11" s="12"/>
      <c r="R11" s="12"/>
      <c r="S11" s="14">
        <f t="shared" si="2"/>
        <v>0</v>
      </c>
      <c r="T11" s="14">
        <f t="shared" si="3"/>
        <v>6.5</v>
      </c>
      <c r="U11" s="14">
        <f t="shared" si="4"/>
        <v>5.2</v>
      </c>
    </row>
    <row r="12" ht="24.0" customHeight="1">
      <c r="A12" s="12" t="s">
        <v>47</v>
      </c>
      <c r="B12" s="12" t="s">
        <v>48</v>
      </c>
      <c r="C12" s="12" t="s">
        <v>49</v>
      </c>
      <c r="D12" s="13">
        <f>iferror(sumif(E12:R12,"&lt;&gt;")/sumif(E12:R12,"&lt;&gt;",E3:R3),"")</f>
        <v>0.24</v>
      </c>
      <c r="E12" s="12">
        <v>24.0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4">
        <f t="shared" si="2"/>
        <v>0</v>
      </c>
      <c r="T12" s="14">
        <f t="shared" si="3"/>
        <v>0</v>
      </c>
      <c r="U12" s="14">
        <f t="shared" si="4"/>
        <v>0</v>
      </c>
    </row>
    <row r="13" ht="24.0" customHeight="1">
      <c r="A13" s="12" t="s">
        <v>50</v>
      </c>
      <c r="B13" s="12" t="s">
        <v>51</v>
      </c>
      <c r="C13" s="12" t="s">
        <v>52</v>
      </c>
      <c r="D13" s="13">
        <f>iferror(sumif(E13:R13,"&lt;&gt;")/sumif(E13:R13,"&lt;&gt;",E3:R3),"")</f>
        <v>0.5375</v>
      </c>
      <c r="E13" s="12"/>
      <c r="F13" s="12"/>
      <c r="G13" s="12"/>
      <c r="H13" s="12"/>
      <c r="I13" s="12"/>
      <c r="J13" s="12">
        <v>71.0</v>
      </c>
      <c r="K13" s="12">
        <v>36.5</v>
      </c>
      <c r="L13" s="12"/>
      <c r="M13" s="12"/>
      <c r="N13" s="12"/>
      <c r="O13" s="12"/>
      <c r="P13" s="12"/>
      <c r="Q13" s="12"/>
      <c r="R13" s="12"/>
      <c r="S13" s="14">
        <f t="shared" si="2"/>
        <v>0</v>
      </c>
      <c r="T13" s="14">
        <f t="shared" si="3"/>
        <v>0</v>
      </c>
      <c r="U13" s="14">
        <f t="shared" si="4"/>
        <v>0</v>
      </c>
    </row>
    <row r="14" ht="24.0" customHeight="1">
      <c r="A14" s="12" t="s">
        <v>53</v>
      </c>
      <c r="B14" s="12" t="s">
        <v>54</v>
      </c>
      <c r="C14" s="12" t="s">
        <v>55</v>
      </c>
      <c r="D14" s="13">
        <f>iferror(sumif(E14:R14,"&lt;&gt;")/sumif(E14:R14,"&lt;&gt;",E3:R3),"")</f>
        <v>0.7575</v>
      </c>
      <c r="E14" s="12">
        <v>24.0</v>
      </c>
      <c r="F14" s="12"/>
      <c r="G14" s="12"/>
      <c r="H14" s="12"/>
      <c r="I14" s="12"/>
      <c r="J14" s="12">
        <v>100.0</v>
      </c>
      <c r="K14" s="12">
        <v>90.0</v>
      </c>
      <c r="L14" s="12">
        <v>89.0</v>
      </c>
      <c r="M14" s="12"/>
      <c r="N14" s="12"/>
      <c r="O14" s="12"/>
      <c r="P14" s="12"/>
      <c r="Q14" s="12"/>
      <c r="R14" s="12"/>
      <c r="S14" s="14">
        <f t="shared" si="2"/>
        <v>0</v>
      </c>
      <c r="T14" s="14">
        <f t="shared" si="3"/>
        <v>0</v>
      </c>
      <c r="U14" s="14">
        <f t="shared" si="4"/>
        <v>0</v>
      </c>
    </row>
    <row r="15" ht="24.0" customHeight="1">
      <c r="A15" s="12" t="s">
        <v>56</v>
      </c>
      <c r="B15" s="12" t="s">
        <v>57</v>
      </c>
      <c r="C15" s="12" t="s">
        <v>58</v>
      </c>
      <c r="D15" s="13" t="str">
        <f>iferror(sumif(E15:R15,"&lt;&gt;")/sumif(E15:R15,"&lt;&gt;",E3:R3),"")</f>
        <v/>
      </c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4">
        <f t="shared" si="2"/>
        <v>0</v>
      </c>
      <c r="T15" s="14">
        <f t="shared" si="3"/>
        <v>0</v>
      </c>
      <c r="U15" s="14">
        <f t="shared" si="4"/>
        <v>0</v>
      </c>
    </row>
    <row r="16" ht="24.0" customHeight="1">
      <c r="A16" s="12" t="s">
        <v>59</v>
      </c>
      <c r="B16" s="12" t="s">
        <v>60</v>
      </c>
      <c r="C16" s="12" t="s">
        <v>61</v>
      </c>
      <c r="D16" s="13">
        <f>iferror(sumif(E16:R16,"&lt;&gt;")/sumif(E16:R16,"&lt;&gt;",E3:R3),"")</f>
        <v>0.7258333333</v>
      </c>
      <c r="E16" s="12">
        <v>9.0</v>
      </c>
      <c r="F16" s="12">
        <v>60.0</v>
      </c>
      <c r="G16" s="12">
        <v>50.0</v>
      </c>
      <c r="H16" s="12">
        <v>30.0</v>
      </c>
      <c r="I16" s="12"/>
      <c r="J16" s="12">
        <v>99.0</v>
      </c>
      <c r="K16" s="12">
        <v>94.0</v>
      </c>
      <c r="L16" s="12">
        <v>75.0</v>
      </c>
      <c r="M16" s="12"/>
      <c r="N16" s="12">
        <v>79.0</v>
      </c>
      <c r="O16" s="12">
        <v>90.0</v>
      </c>
      <c r="P16" s="12">
        <v>95.0</v>
      </c>
      <c r="Q16" s="12">
        <v>90.0</v>
      </c>
      <c r="R16" s="12">
        <v>100.0</v>
      </c>
      <c r="S16" s="14">
        <f t="shared" si="2"/>
        <v>95</v>
      </c>
      <c r="T16" s="14">
        <f t="shared" si="3"/>
        <v>40</v>
      </c>
      <c r="U16" s="14">
        <f t="shared" si="4"/>
        <v>51</v>
      </c>
    </row>
    <row r="17" ht="24.0" customHeight="1">
      <c r="A17" s="12" t="s">
        <v>62</v>
      </c>
      <c r="B17" s="12" t="s">
        <v>63</v>
      </c>
      <c r="C17" s="12" t="s">
        <v>64</v>
      </c>
      <c r="D17" s="13">
        <f>iferror(sumif(E17:R17,"&lt;&gt;")/sumif(E17:R17,"&lt;&gt;",E3:R3),"")</f>
        <v>0.8</v>
      </c>
      <c r="E17" s="12"/>
      <c r="F17" s="12"/>
      <c r="G17" s="12"/>
      <c r="H17" s="12"/>
      <c r="I17" s="12"/>
      <c r="J17" s="12">
        <v>80.0</v>
      </c>
      <c r="K17" s="12"/>
      <c r="L17" s="12"/>
      <c r="M17" s="12"/>
      <c r="N17" s="12"/>
      <c r="O17" s="12"/>
      <c r="P17" s="12"/>
      <c r="Q17" s="12"/>
      <c r="R17" s="12"/>
      <c r="S17" s="14">
        <f t="shared" si="2"/>
        <v>0</v>
      </c>
      <c r="T17" s="14">
        <f t="shared" si="3"/>
        <v>0</v>
      </c>
      <c r="U17" s="14">
        <f t="shared" si="4"/>
        <v>0</v>
      </c>
    </row>
    <row r="18" ht="24.0" customHeight="1">
      <c r="A18" s="12" t="s">
        <v>65</v>
      </c>
      <c r="B18" s="12" t="s">
        <v>66</v>
      </c>
      <c r="C18" s="12" t="s">
        <v>67</v>
      </c>
      <c r="D18" s="13">
        <f>iferror(sumif(E18:R18,"&lt;&gt;")/sumif(E18:R18,"&lt;&gt;",E3:R3),"")</f>
        <v>0.5954545455</v>
      </c>
      <c r="E18" s="12">
        <v>20.0</v>
      </c>
      <c r="F18" s="12">
        <v>39.0</v>
      </c>
      <c r="G18" s="12">
        <v>41.0</v>
      </c>
      <c r="H18" s="12">
        <v>31.0</v>
      </c>
      <c r="I18" s="12"/>
      <c r="J18" s="12">
        <v>92.0</v>
      </c>
      <c r="K18" s="12">
        <v>92.5</v>
      </c>
      <c r="L18" s="12">
        <v>68.5</v>
      </c>
      <c r="M18" s="12">
        <v>95.0</v>
      </c>
      <c r="N18" s="12">
        <v>51.0</v>
      </c>
      <c r="O18" s="12">
        <v>40.0</v>
      </c>
      <c r="P18" s="12">
        <v>85.0</v>
      </c>
      <c r="Q18" s="12"/>
      <c r="R18" s="12"/>
      <c r="S18" s="14">
        <f t="shared" si="2"/>
        <v>28.33333333</v>
      </c>
      <c r="T18" s="14">
        <f t="shared" si="3"/>
        <v>36</v>
      </c>
      <c r="U18" s="14">
        <f t="shared" si="4"/>
        <v>34.46666667</v>
      </c>
    </row>
    <row r="19" ht="24.0" customHeight="1">
      <c r="A19" s="12" t="s">
        <v>68</v>
      </c>
      <c r="B19" s="12" t="s">
        <v>69</v>
      </c>
      <c r="C19" s="12" t="s">
        <v>70</v>
      </c>
      <c r="D19" s="13">
        <f>iferror(sumif(E19:R19,"&lt;&gt;")/sumif(E19:R19,"&lt;&gt;",E3:R3),"")</f>
        <v>0.6361538462</v>
      </c>
      <c r="E19" s="12">
        <v>37.0</v>
      </c>
      <c r="F19" s="12">
        <v>44.0</v>
      </c>
      <c r="G19" s="12">
        <v>83.0</v>
      </c>
      <c r="H19" s="12">
        <v>66.0</v>
      </c>
      <c r="I19" s="12"/>
      <c r="J19" s="12">
        <v>68.0</v>
      </c>
      <c r="K19" s="12">
        <v>73.0</v>
      </c>
      <c r="L19" s="12">
        <v>55.0</v>
      </c>
      <c r="M19" s="12">
        <v>55.0</v>
      </c>
      <c r="N19" s="12">
        <v>76.0</v>
      </c>
      <c r="O19" s="12">
        <v>60.0</v>
      </c>
      <c r="P19" s="12">
        <v>70.0</v>
      </c>
      <c r="Q19" s="12">
        <v>40.0</v>
      </c>
      <c r="R19" s="12">
        <v>100.0</v>
      </c>
      <c r="S19" s="14">
        <f t="shared" si="2"/>
        <v>70</v>
      </c>
      <c r="T19" s="14">
        <f t="shared" si="3"/>
        <v>74.5</v>
      </c>
      <c r="U19" s="14">
        <f t="shared" si="4"/>
        <v>73.6</v>
      </c>
    </row>
    <row r="20" ht="24.0" customHeight="1">
      <c r="A20" s="12" t="s">
        <v>71</v>
      </c>
      <c r="B20" s="12" t="s">
        <v>72</v>
      </c>
      <c r="C20" s="12" t="s">
        <v>73</v>
      </c>
      <c r="D20" s="13">
        <f>iferror(sumif(E20:R20,"&lt;&gt;")/sumif(E20:R20,"&lt;&gt;",E3:R3),"")</f>
        <v>0.6016666667</v>
      </c>
      <c r="E20" s="12">
        <v>22.0</v>
      </c>
      <c r="F20" s="12">
        <v>42.0</v>
      </c>
      <c r="G20" s="12">
        <v>2.0</v>
      </c>
      <c r="H20" s="12">
        <v>18.0</v>
      </c>
      <c r="I20" s="12"/>
      <c r="J20" s="12">
        <v>87.0</v>
      </c>
      <c r="K20" s="12">
        <v>73.5</v>
      </c>
      <c r="L20" s="12">
        <v>97.0</v>
      </c>
      <c r="M20" s="12"/>
      <c r="N20" s="12"/>
      <c r="O20" s="12"/>
      <c r="P20" s="12"/>
      <c r="Q20" s="12">
        <v>100.0</v>
      </c>
      <c r="R20" s="12">
        <v>100.0</v>
      </c>
      <c r="S20" s="14">
        <f t="shared" si="2"/>
        <v>66.66666667</v>
      </c>
      <c r="T20" s="14">
        <f t="shared" si="3"/>
        <v>10</v>
      </c>
      <c r="U20" s="14">
        <f t="shared" si="4"/>
        <v>21.33333333</v>
      </c>
    </row>
    <row r="21" ht="24.0" customHeight="1">
      <c r="A21" s="12" t="s">
        <v>1</v>
      </c>
      <c r="B21" s="12" t="s">
        <v>74</v>
      </c>
      <c r="C21" s="12" t="s">
        <v>75</v>
      </c>
      <c r="D21" s="13">
        <f>iferror(sumif(E21:R21,"&lt;&gt;")/sumif(E21:R21,"&lt;&gt;",E3:R3),"")</f>
        <v>0.59</v>
      </c>
      <c r="E21" s="12">
        <v>17.0</v>
      </c>
      <c r="F21" s="12"/>
      <c r="G21" s="12"/>
      <c r="H21" s="12"/>
      <c r="I21" s="12"/>
      <c r="J21" s="12">
        <v>95.0</v>
      </c>
      <c r="K21" s="12">
        <v>90.0</v>
      </c>
      <c r="L21" s="12">
        <v>34.0</v>
      </c>
      <c r="M21" s="12"/>
      <c r="N21" s="12"/>
      <c r="O21" s="12"/>
      <c r="P21" s="12"/>
      <c r="Q21" s="12"/>
      <c r="R21" s="12"/>
      <c r="S21" s="14">
        <f t="shared" si="2"/>
        <v>0</v>
      </c>
      <c r="T21" s="14">
        <f t="shared" si="3"/>
        <v>0</v>
      </c>
      <c r="U21" s="14">
        <f t="shared" si="4"/>
        <v>0</v>
      </c>
    </row>
    <row r="22" ht="24.0" customHeight="1">
      <c r="A22" s="12" t="s">
        <v>76</v>
      </c>
      <c r="B22" s="12" t="s">
        <v>77</v>
      </c>
      <c r="C22" s="12" t="s">
        <v>78</v>
      </c>
      <c r="D22" s="13">
        <f>iferror(sumif(E22:R22,"&lt;&gt;")/sumif(E22:R22,"&lt;&gt;",E3:R3),"")</f>
        <v>0.6946153846</v>
      </c>
      <c r="E22" s="12">
        <v>47.0</v>
      </c>
      <c r="F22" s="12">
        <v>52.0</v>
      </c>
      <c r="G22" s="12">
        <v>47.0</v>
      </c>
      <c r="H22" s="12">
        <v>38.0</v>
      </c>
      <c r="I22" s="12"/>
      <c r="J22" s="12">
        <v>95.0</v>
      </c>
      <c r="K22" s="12">
        <v>91.0</v>
      </c>
      <c r="L22" s="12">
        <v>70.0</v>
      </c>
      <c r="M22" s="12">
        <v>70.0</v>
      </c>
      <c r="N22" s="12">
        <v>90.0</v>
      </c>
      <c r="O22" s="12">
        <v>73.0</v>
      </c>
      <c r="P22" s="12">
        <v>90.0</v>
      </c>
      <c r="Q22" s="12">
        <v>90.0</v>
      </c>
      <c r="R22" s="12">
        <v>50.0</v>
      </c>
      <c r="S22" s="14">
        <f t="shared" si="2"/>
        <v>76.66666667</v>
      </c>
      <c r="T22" s="14">
        <f t="shared" si="3"/>
        <v>42.5</v>
      </c>
      <c r="U22" s="14">
        <f t="shared" si="4"/>
        <v>49.33333333</v>
      </c>
    </row>
    <row r="23" ht="24.0" customHeight="1">
      <c r="A23" s="12" t="s">
        <v>79</v>
      </c>
      <c r="B23" s="12" t="s">
        <v>80</v>
      </c>
      <c r="C23" s="12" t="s">
        <v>81</v>
      </c>
      <c r="D23" s="13">
        <f>iferror(sumif(E23:R23,"&lt;&gt;")/sumif(E23:R23,"&lt;&gt;",E3:R3),"")</f>
        <v>0.4983333333</v>
      </c>
      <c r="E23" s="12">
        <v>22.0</v>
      </c>
      <c r="F23" s="12">
        <v>21.0</v>
      </c>
      <c r="G23" s="12">
        <v>5.0</v>
      </c>
      <c r="H23" s="12">
        <v>0.0</v>
      </c>
      <c r="I23" s="12"/>
      <c r="J23" s="12">
        <v>94.0</v>
      </c>
      <c r="K23" s="12">
        <v>48.5</v>
      </c>
      <c r="L23" s="12">
        <v>88.0</v>
      </c>
      <c r="M23" s="12"/>
      <c r="N23" s="12"/>
      <c r="O23" s="12">
        <v>90.0</v>
      </c>
      <c r="P23" s="12"/>
      <c r="Q23" s="12">
        <v>80.0</v>
      </c>
      <c r="R23" s="12"/>
      <c r="S23" s="14">
        <f t="shared" si="2"/>
        <v>26.66666667</v>
      </c>
      <c r="T23" s="14">
        <f t="shared" si="3"/>
        <v>2.5</v>
      </c>
      <c r="U23" s="14">
        <f t="shared" si="4"/>
        <v>7.333333333</v>
      </c>
    </row>
    <row r="24" ht="24.0" customHeight="1">
      <c r="A24" s="12" t="s">
        <v>82</v>
      </c>
      <c r="B24" s="12" t="s">
        <v>83</v>
      </c>
      <c r="C24" s="12" t="s">
        <v>84</v>
      </c>
      <c r="D24" s="13">
        <f>iferror(sumif(E24:R24,"&lt;&gt;")/sumif(E24:R24,"&lt;&gt;",E3:R3),"")</f>
        <v>0.335</v>
      </c>
      <c r="E24" s="12"/>
      <c r="F24" s="12"/>
      <c r="G24" s="12"/>
      <c r="H24" s="12"/>
      <c r="I24" s="12"/>
      <c r="J24" s="12"/>
      <c r="K24" s="12">
        <v>33.5</v>
      </c>
      <c r="L24" s="12"/>
      <c r="M24" s="12"/>
      <c r="N24" s="12"/>
      <c r="O24" s="12"/>
      <c r="P24" s="12"/>
      <c r="Q24" s="12"/>
      <c r="R24" s="12"/>
      <c r="S24" s="14">
        <f t="shared" si="2"/>
        <v>0</v>
      </c>
      <c r="T24" s="14">
        <f t="shared" si="3"/>
        <v>0</v>
      </c>
      <c r="U24" s="14">
        <f t="shared" si="4"/>
        <v>0</v>
      </c>
    </row>
    <row r="25" ht="24.0" customHeight="1">
      <c r="A25" s="12" t="s">
        <v>85</v>
      </c>
      <c r="B25" s="12" t="s">
        <v>86</v>
      </c>
      <c r="C25" s="12" t="s">
        <v>87</v>
      </c>
      <c r="D25" s="13">
        <f>iferror(sumif(E25:R25,"&lt;&gt;")/sumif(E25:R25,"&lt;&gt;",E3:R3),"")</f>
        <v>0.36</v>
      </c>
      <c r="E25" s="12"/>
      <c r="F25" s="12">
        <v>0.0</v>
      </c>
      <c r="G25" s="12"/>
      <c r="H25" s="12">
        <v>0.0</v>
      </c>
      <c r="I25" s="12"/>
      <c r="J25" s="12">
        <v>97.0</v>
      </c>
      <c r="K25" s="12">
        <v>64.0</v>
      </c>
      <c r="L25" s="12">
        <v>19.0</v>
      </c>
      <c r="M25" s="12"/>
      <c r="N25" s="12"/>
      <c r="O25" s="12"/>
      <c r="P25" s="12"/>
      <c r="Q25" s="12"/>
      <c r="R25" s="12"/>
      <c r="S25" s="14">
        <f t="shared" si="2"/>
        <v>0</v>
      </c>
      <c r="T25" s="14">
        <f t="shared" si="3"/>
        <v>0</v>
      </c>
      <c r="U25" s="14">
        <f t="shared" si="4"/>
        <v>0</v>
      </c>
    </row>
    <row r="26" ht="24.0" customHeight="1">
      <c r="A26" s="12" t="s">
        <v>88</v>
      </c>
      <c r="B26" s="12" t="s">
        <v>89</v>
      </c>
      <c r="C26" s="12" t="s">
        <v>90</v>
      </c>
      <c r="D26" s="13">
        <f>iferror(sumif(E26:R26,"&lt;&gt;")/sumif(E26:R26,"&lt;&gt;",E3:R3),"")</f>
        <v>0.62125</v>
      </c>
      <c r="E26" s="12">
        <v>39.0</v>
      </c>
      <c r="F26" s="12">
        <v>90.0</v>
      </c>
      <c r="G26" s="12">
        <v>55.0</v>
      </c>
      <c r="H26" s="12">
        <v>54.0</v>
      </c>
      <c r="I26" s="12"/>
      <c r="J26" s="12">
        <v>71.0</v>
      </c>
      <c r="K26" s="12"/>
      <c r="L26" s="12"/>
      <c r="M26" s="12"/>
      <c r="N26" s="12">
        <v>48.0</v>
      </c>
      <c r="O26" s="12">
        <v>60.0</v>
      </c>
      <c r="P26" s="12">
        <v>80.0</v>
      </c>
      <c r="Q26" s="12"/>
      <c r="R26" s="12"/>
      <c r="S26" s="14">
        <f t="shared" si="2"/>
        <v>26.66666667</v>
      </c>
      <c r="T26" s="14">
        <f t="shared" si="3"/>
        <v>54.5</v>
      </c>
      <c r="U26" s="14">
        <f t="shared" si="4"/>
        <v>48.93333333</v>
      </c>
    </row>
    <row r="27" ht="24.0" customHeight="1">
      <c r="A27" s="12" t="s">
        <v>91</v>
      </c>
      <c r="B27" s="12" t="s">
        <v>92</v>
      </c>
      <c r="C27" s="12" t="s">
        <v>93</v>
      </c>
      <c r="D27" s="13">
        <f>iferror(sumif(E27:R27,"&lt;&gt;")/sumif(E27:R27,"&lt;&gt;",E3:R3),"")</f>
        <v>0.5565</v>
      </c>
      <c r="E27" s="12">
        <v>34.0</v>
      </c>
      <c r="F27" s="12">
        <v>30.0</v>
      </c>
      <c r="G27" s="12">
        <v>12.0</v>
      </c>
      <c r="H27" s="12"/>
      <c r="I27" s="12"/>
      <c r="J27" s="12">
        <v>76.0</v>
      </c>
      <c r="K27" s="12">
        <v>41.5</v>
      </c>
      <c r="L27" s="12">
        <v>83.0</v>
      </c>
      <c r="M27" s="12">
        <v>60.0</v>
      </c>
      <c r="N27" s="12">
        <v>95.0</v>
      </c>
      <c r="O27" s="12">
        <v>55.0</v>
      </c>
      <c r="P27" s="12">
        <v>70.0</v>
      </c>
      <c r="Q27" s="12"/>
      <c r="R27" s="12"/>
      <c r="S27" s="14">
        <f t="shared" si="2"/>
        <v>23.33333333</v>
      </c>
      <c r="T27" s="14">
        <f t="shared" si="3"/>
        <v>6</v>
      </c>
      <c r="U27" s="14">
        <f t="shared" si="4"/>
        <v>9.466666667</v>
      </c>
    </row>
    <row r="28" ht="24.0" customHeight="1">
      <c r="A28" s="12" t="s">
        <v>94</v>
      </c>
      <c r="B28" s="12" t="s">
        <v>95</v>
      </c>
      <c r="C28" s="12" t="s">
        <v>96</v>
      </c>
      <c r="D28" s="13">
        <f>iferror(sumif(E28:R28,"&lt;&gt;")/sumif(E28:R28,"&lt;&gt;",E3:R3),"")</f>
        <v>0.5161111111</v>
      </c>
      <c r="E28" s="12">
        <v>22.0</v>
      </c>
      <c r="F28" s="12">
        <v>20.0</v>
      </c>
      <c r="G28" s="12">
        <v>0.0</v>
      </c>
      <c r="H28" s="12">
        <v>0.0</v>
      </c>
      <c r="I28" s="12"/>
      <c r="J28" s="12">
        <v>97.0</v>
      </c>
      <c r="K28" s="12">
        <v>70.5</v>
      </c>
      <c r="L28" s="12">
        <v>90.0</v>
      </c>
      <c r="M28" s="12"/>
      <c r="N28" s="12"/>
      <c r="O28" s="12">
        <v>75.0</v>
      </c>
      <c r="P28" s="12">
        <v>90.0</v>
      </c>
      <c r="Q28" s="12"/>
      <c r="R28" s="12"/>
      <c r="S28" s="14">
        <f t="shared" si="2"/>
        <v>30</v>
      </c>
      <c r="T28" s="14">
        <f t="shared" si="3"/>
        <v>0</v>
      </c>
      <c r="U28" s="14">
        <f t="shared" si="4"/>
        <v>6</v>
      </c>
    </row>
    <row r="29" ht="24.0" customHeight="1">
      <c r="A29" s="12" t="s">
        <v>97</v>
      </c>
      <c r="B29" s="12" t="s">
        <v>98</v>
      </c>
      <c r="C29" s="12" t="s">
        <v>99</v>
      </c>
      <c r="D29" s="13">
        <f>iferror(sumif(E29:R29,"&lt;&gt;")/sumif(E29:R29,"&lt;&gt;",E3:R3),"")</f>
        <v>0.7176923077</v>
      </c>
      <c r="E29" s="12">
        <v>65.0</v>
      </c>
      <c r="F29" s="12">
        <v>52.0</v>
      </c>
      <c r="G29" s="12">
        <v>37.0</v>
      </c>
      <c r="H29" s="12">
        <v>29.0</v>
      </c>
      <c r="I29" s="12"/>
      <c r="J29" s="12">
        <v>100.0</v>
      </c>
      <c r="K29" s="12">
        <v>93.0</v>
      </c>
      <c r="L29" s="12">
        <v>75.0</v>
      </c>
      <c r="M29" s="12">
        <v>80.0</v>
      </c>
      <c r="N29" s="12">
        <v>92.0</v>
      </c>
      <c r="O29" s="12">
        <v>85.0</v>
      </c>
      <c r="P29" s="12">
        <v>80.0</v>
      </c>
      <c r="Q29" s="12">
        <v>100.0</v>
      </c>
      <c r="R29" s="12">
        <v>45.0</v>
      </c>
      <c r="S29" s="14">
        <f t="shared" si="2"/>
        <v>75</v>
      </c>
      <c r="T29" s="14">
        <f t="shared" si="3"/>
        <v>33</v>
      </c>
      <c r="U29" s="14">
        <f t="shared" si="4"/>
        <v>41.4</v>
      </c>
    </row>
    <row r="30" ht="24.0" customHeight="1">
      <c r="A30" s="12" t="s">
        <v>100</v>
      </c>
      <c r="B30" s="12" t="s">
        <v>101</v>
      </c>
      <c r="C30" s="12" t="s">
        <v>102</v>
      </c>
      <c r="D30" s="13">
        <f>iferror(sumif(E30:R30,"&lt;&gt;")/sumif(E30:R30,"&lt;&gt;",E3:R3),"")</f>
        <v>0.3792857143</v>
      </c>
      <c r="E30" s="12">
        <v>24.0</v>
      </c>
      <c r="F30" s="12">
        <v>0.0</v>
      </c>
      <c r="G30" s="12">
        <v>0.0</v>
      </c>
      <c r="H30" s="12"/>
      <c r="I30" s="12"/>
      <c r="J30" s="12">
        <v>36.0</v>
      </c>
      <c r="K30" s="12">
        <v>71.5</v>
      </c>
      <c r="L30" s="12">
        <v>40.0</v>
      </c>
      <c r="M30" s="12"/>
      <c r="N30" s="12">
        <v>94.0</v>
      </c>
      <c r="O30" s="12"/>
      <c r="P30" s="12"/>
      <c r="Q30" s="12"/>
      <c r="R30" s="12"/>
      <c r="S30" s="14">
        <f t="shared" si="2"/>
        <v>0</v>
      </c>
      <c r="T30" s="14">
        <f t="shared" si="3"/>
        <v>0</v>
      </c>
      <c r="U30" s="14">
        <f t="shared" si="4"/>
        <v>0</v>
      </c>
    </row>
    <row r="31" ht="24.0" customHeight="1">
      <c r="A31" s="12" t="s">
        <v>103</v>
      </c>
      <c r="B31" s="12" t="s">
        <v>104</v>
      </c>
      <c r="C31" s="12" t="s">
        <v>105</v>
      </c>
      <c r="D31" s="13">
        <f>iferror(sumif(E31:R31,"&lt;&gt;")/sumif(E31:R31,"&lt;&gt;",E3:R3),"")</f>
        <v>0.8153846154</v>
      </c>
      <c r="E31" s="12">
        <v>31.0</v>
      </c>
      <c r="F31" s="12">
        <v>60.0</v>
      </c>
      <c r="G31" s="12">
        <v>71.0</v>
      </c>
      <c r="H31" s="12">
        <v>62.0</v>
      </c>
      <c r="I31" s="12"/>
      <c r="J31" s="12">
        <v>92.0</v>
      </c>
      <c r="K31" s="12">
        <v>80.0</v>
      </c>
      <c r="L31" s="12">
        <v>95.0</v>
      </c>
      <c r="M31" s="12">
        <v>100.0</v>
      </c>
      <c r="N31" s="12">
        <v>100.0</v>
      </c>
      <c r="O31" s="12">
        <v>95.0</v>
      </c>
      <c r="P31" s="12">
        <v>84.0</v>
      </c>
      <c r="Q31" s="12">
        <v>100.0</v>
      </c>
      <c r="R31" s="12">
        <v>90.0</v>
      </c>
      <c r="S31" s="14">
        <f t="shared" si="2"/>
        <v>91.33333333</v>
      </c>
      <c r="T31" s="14">
        <f t="shared" si="3"/>
        <v>66.5</v>
      </c>
      <c r="U31" s="14">
        <f t="shared" si="4"/>
        <v>71.46666667</v>
      </c>
    </row>
    <row r="32" ht="24.0" customHeight="1">
      <c r="A32" s="12" t="s">
        <v>106</v>
      </c>
      <c r="B32" s="12" t="s">
        <v>107</v>
      </c>
      <c r="C32" s="12" t="s">
        <v>108</v>
      </c>
      <c r="D32" s="13">
        <f>iferror(sumif(E32:R32,"&lt;&gt;")/sumif(E32:R32,"&lt;&gt;",E3:R3),"")</f>
        <v>0.7607692308</v>
      </c>
      <c r="E32" s="12">
        <v>65.0</v>
      </c>
      <c r="F32" s="12">
        <v>100.0</v>
      </c>
      <c r="G32" s="12">
        <v>72.0</v>
      </c>
      <c r="H32" s="12">
        <v>52.0</v>
      </c>
      <c r="I32" s="12"/>
      <c r="J32" s="12">
        <v>80.0</v>
      </c>
      <c r="K32" s="12">
        <v>76.0</v>
      </c>
      <c r="L32" s="12">
        <v>42.0</v>
      </c>
      <c r="M32" s="12">
        <v>30.0</v>
      </c>
      <c r="N32" s="12">
        <v>92.0</v>
      </c>
      <c r="O32" s="12">
        <v>80.0</v>
      </c>
      <c r="P32" s="12">
        <v>100.0</v>
      </c>
      <c r="Q32" s="12">
        <v>100.0</v>
      </c>
      <c r="R32" s="12">
        <v>100.0</v>
      </c>
      <c r="S32" s="14">
        <f t="shared" si="2"/>
        <v>100</v>
      </c>
      <c r="T32" s="14">
        <f t="shared" si="3"/>
        <v>62</v>
      </c>
      <c r="U32" s="14">
        <f t="shared" si="4"/>
        <v>69.6</v>
      </c>
    </row>
    <row r="33" ht="24.0" customHeight="1">
      <c r="A33" s="12" t="s">
        <v>109</v>
      </c>
      <c r="B33" s="12" t="s">
        <v>110</v>
      </c>
      <c r="C33" s="12" t="s">
        <v>111</v>
      </c>
      <c r="D33" s="13">
        <f>iferror(sumif(E33:R33,"&lt;&gt;")/sumif(E33:R33,"&lt;&gt;",E3:R3),"")</f>
        <v>0.4516666667</v>
      </c>
      <c r="E33" s="12">
        <v>51.0</v>
      </c>
      <c r="F33" s="12"/>
      <c r="G33" s="12">
        <v>22.0</v>
      </c>
      <c r="H33" s="12">
        <v>22.0</v>
      </c>
      <c r="I33" s="12"/>
      <c r="J33" s="12">
        <v>92.0</v>
      </c>
      <c r="K33" s="12">
        <v>35.0</v>
      </c>
      <c r="L33" s="12">
        <v>49.0</v>
      </c>
      <c r="M33" s="12"/>
      <c r="N33" s="12"/>
      <c r="O33" s="12"/>
      <c r="P33" s="12"/>
      <c r="Q33" s="12"/>
      <c r="R33" s="12"/>
      <c r="S33" s="14">
        <f t="shared" si="2"/>
        <v>0</v>
      </c>
      <c r="T33" s="14">
        <f t="shared" si="3"/>
        <v>22</v>
      </c>
      <c r="U33" s="14">
        <f t="shared" si="4"/>
        <v>17.6</v>
      </c>
    </row>
    <row r="34" ht="24.0" customHeight="1">
      <c r="A34" s="12" t="s">
        <v>112</v>
      </c>
      <c r="B34" s="12" t="s">
        <v>113</v>
      </c>
      <c r="C34" s="12" t="s">
        <v>114</v>
      </c>
      <c r="D34" s="13">
        <f>iferror(sumif(E34:R34,"&lt;&gt;")/sumif(E34:R34,"&lt;&gt;",E3:R3),"")</f>
        <v>0.5577777778</v>
      </c>
      <c r="E34" s="12">
        <v>42.0</v>
      </c>
      <c r="F34" s="12">
        <v>37.0</v>
      </c>
      <c r="G34" s="12">
        <v>17.0</v>
      </c>
      <c r="H34" s="12">
        <v>50.0</v>
      </c>
      <c r="I34" s="12"/>
      <c r="J34" s="12">
        <v>96.0</v>
      </c>
      <c r="K34" s="12">
        <v>90.0</v>
      </c>
      <c r="L34" s="12"/>
      <c r="M34" s="12"/>
      <c r="N34" s="12">
        <v>40.0</v>
      </c>
      <c r="O34" s="12">
        <v>35.0</v>
      </c>
      <c r="P34" s="12">
        <v>95.0</v>
      </c>
      <c r="Q34" s="12"/>
      <c r="R34" s="12"/>
      <c r="S34" s="14">
        <f t="shared" si="2"/>
        <v>31.66666667</v>
      </c>
      <c r="T34" s="14">
        <f t="shared" si="3"/>
        <v>33.5</v>
      </c>
      <c r="U34" s="14">
        <f t="shared" si="4"/>
        <v>33.13333333</v>
      </c>
    </row>
    <row r="35" ht="24.0" customHeight="1">
      <c r="A35" s="12" t="s">
        <v>115</v>
      </c>
      <c r="B35" s="12" t="s">
        <v>116</v>
      </c>
      <c r="C35" s="12" t="s">
        <v>117</v>
      </c>
      <c r="D35" s="13">
        <f>iferror(sumif(E35:R35,"&lt;&gt;")/sumif(E35:R35,"&lt;&gt;",E3:R3),"")</f>
        <v>0.9536363636</v>
      </c>
      <c r="E35" s="12">
        <v>100.0</v>
      </c>
      <c r="F35" s="12">
        <v>100.0</v>
      </c>
      <c r="G35" s="12">
        <v>100.0</v>
      </c>
      <c r="H35" s="12">
        <v>100.0</v>
      </c>
      <c r="I35" s="12"/>
      <c r="J35" s="12">
        <v>100.0</v>
      </c>
      <c r="K35" s="12">
        <v>100.0</v>
      </c>
      <c r="L35" s="12">
        <v>85.0</v>
      </c>
      <c r="M35" s="12">
        <v>98.0</v>
      </c>
      <c r="N35" s="12">
        <v>96.0</v>
      </c>
      <c r="O35" s="12">
        <v>80.0</v>
      </c>
      <c r="P35" s="12">
        <v>90.0</v>
      </c>
      <c r="Q35" s="12"/>
      <c r="R35" s="12"/>
      <c r="S35" s="14">
        <f t="shared" si="2"/>
        <v>30</v>
      </c>
      <c r="T35" s="14">
        <f t="shared" si="3"/>
        <v>100</v>
      </c>
      <c r="U35" s="14">
        <f t="shared" si="4"/>
        <v>86</v>
      </c>
    </row>
    <row r="36" ht="24.0" customHeight="1">
      <c r="A36" s="12" t="s">
        <v>118</v>
      </c>
      <c r="B36" s="12" t="s">
        <v>119</v>
      </c>
      <c r="C36" s="12" t="s">
        <v>120</v>
      </c>
      <c r="D36" s="13">
        <f>iferror(sumif(E36:R36,"&lt;&gt;")/sumif(E36:R36,"&lt;&gt;",E3:R3),"")</f>
        <v>0.8466666667</v>
      </c>
      <c r="E36" s="12">
        <v>67.0</v>
      </c>
      <c r="F36" s="12">
        <v>55.0</v>
      </c>
      <c r="G36" s="12">
        <v>90.0</v>
      </c>
      <c r="H36" s="12">
        <v>79.0</v>
      </c>
      <c r="I36" s="12"/>
      <c r="J36" s="12">
        <v>98.0</v>
      </c>
      <c r="K36" s="12">
        <v>98.0</v>
      </c>
      <c r="L36" s="12">
        <v>83.0</v>
      </c>
      <c r="M36" s="12"/>
      <c r="N36" s="12">
        <v>96.0</v>
      </c>
      <c r="O36" s="12">
        <v>50.0</v>
      </c>
      <c r="P36" s="12">
        <v>100.0</v>
      </c>
      <c r="Q36" s="12">
        <v>100.0</v>
      </c>
      <c r="R36" s="12">
        <v>100.0</v>
      </c>
      <c r="S36" s="14">
        <f t="shared" si="2"/>
        <v>100</v>
      </c>
      <c r="T36" s="14">
        <f t="shared" si="3"/>
        <v>84.5</v>
      </c>
      <c r="U36" s="14">
        <f t="shared" si="4"/>
        <v>87.6</v>
      </c>
    </row>
    <row r="37" ht="24.0" customHeight="1">
      <c r="A37" s="12" t="s">
        <v>42</v>
      </c>
      <c r="B37" s="12" t="s">
        <v>121</v>
      </c>
      <c r="C37" s="12" t="s">
        <v>122</v>
      </c>
      <c r="D37" s="13">
        <f>iferror(sumif(E37:R37,"&lt;&gt;")/sumif(E37:R37,"&lt;&gt;",E3:R3),"")</f>
        <v>0.46</v>
      </c>
      <c r="E37" s="12">
        <v>0.0</v>
      </c>
      <c r="F37" s="12">
        <v>0.0</v>
      </c>
      <c r="G37" s="12">
        <v>0.0</v>
      </c>
      <c r="H37" s="12"/>
      <c r="I37" s="12"/>
      <c r="J37" s="12">
        <v>85.0</v>
      </c>
      <c r="K37" s="12">
        <v>89.0</v>
      </c>
      <c r="L37" s="12">
        <v>50.0</v>
      </c>
      <c r="M37" s="12">
        <v>98.0</v>
      </c>
      <c r="N37" s="12"/>
      <c r="O37" s="12"/>
      <c r="P37" s="12"/>
      <c r="Q37" s="12"/>
      <c r="R37" s="12"/>
      <c r="S37" s="14">
        <f t="shared" si="2"/>
        <v>0</v>
      </c>
      <c r="T37" s="14">
        <f t="shared" si="3"/>
        <v>0</v>
      </c>
      <c r="U37" s="14">
        <f t="shared" si="4"/>
        <v>0</v>
      </c>
    </row>
    <row r="38" ht="24.0" customHeight="1">
      <c r="A38" s="12" t="s">
        <v>123</v>
      </c>
      <c r="B38" s="12" t="s">
        <v>124</v>
      </c>
      <c r="C38" s="12" t="s">
        <v>125</v>
      </c>
      <c r="D38" s="13">
        <f>iferror(sumif(E38:R38,"&lt;&gt;")/sumif(E38:R38,"&lt;&gt;",E3:R3),"")</f>
        <v>0.6553846154</v>
      </c>
      <c r="E38" s="12">
        <v>42.0</v>
      </c>
      <c r="F38" s="12">
        <v>15.0</v>
      </c>
      <c r="G38" s="12">
        <v>10.0</v>
      </c>
      <c r="H38" s="12">
        <v>5.0</v>
      </c>
      <c r="I38" s="12"/>
      <c r="J38" s="12">
        <v>97.0</v>
      </c>
      <c r="K38" s="12">
        <v>92.0</v>
      </c>
      <c r="L38" s="12">
        <v>87.0</v>
      </c>
      <c r="M38" s="12">
        <v>80.0</v>
      </c>
      <c r="N38" s="12">
        <v>96.0</v>
      </c>
      <c r="O38" s="12">
        <v>90.0</v>
      </c>
      <c r="P38" s="12">
        <v>98.0</v>
      </c>
      <c r="Q38" s="12">
        <v>80.0</v>
      </c>
      <c r="R38" s="12">
        <v>60.0</v>
      </c>
      <c r="S38" s="14">
        <f t="shared" si="2"/>
        <v>79.33333333</v>
      </c>
      <c r="T38" s="14">
        <f t="shared" si="3"/>
        <v>7.5</v>
      </c>
      <c r="U38" s="14">
        <f t="shared" si="4"/>
        <v>21.86666667</v>
      </c>
    </row>
    <row r="39" ht="24.0" customHeight="1">
      <c r="A39" s="12" t="s">
        <v>126</v>
      </c>
      <c r="B39" s="12" t="s">
        <v>127</v>
      </c>
      <c r="C39" s="12" t="s">
        <v>128</v>
      </c>
      <c r="D39" s="13">
        <f>iferror(sumif(E39:R39,"&lt;&gt;")/sumif(E39:R39,"&lt;&gt;",E3:R3),"")</f>
        <v>0.8263636364</v>
      </c>
      <c r="E39" s="12">
        <v>80.0</v>
      </c>
      <c r="F39" s="12">
        <v>95.0</v>
      </c>
      <c r="G39" s="12">
        <v>40.0</v>
      </c>
      <c r="H39" s="12">
        <v>65.0</v>
      </c>
      <c r="I39" s="12"/>
      <c r="J39" s="12">
        <v>87.0</v>
      </c>
      <c r="K39" s="12">
        <v>96.0</v>
      </c>
      <c r="L39" s="12">
        <v>70.0</v>
      </c>
      <c r="M39" s="12">
        <v>90.0</v>
      </c>
      <c r="N39" s="12">
        <v>86.0</v>
      </c>
      <c r="O39" s="12">
        <v>100.0</v>
      </c>
      <c r="P39" s="12"/>
      <c r="Q39" s="12"/>
      <c r="R39" s="12">
        <v>100.0</v>
      </c>
      <c r="S39" s="14">
        <f t="shared" si="2"/>
        <v>33.33333333</v>
      </c>
      <c r="T39" s="14">
        <f t="shared" si="3"/>
        <v>52.5</v>
      </c>
      <c r="U39" s="14">
        <f t="shared" si="4"/>
        <v>48.66666667</v>
      </c>
    </row>
    <row r="40" ht="24.0" customHeight="1">
      <c r="A40" s="12" t="s">
        <v>129</v>
      </c>
      <c r="B40" s="12" t="s">
        <v>115</v>
      </c>
      <c r="C40" s="12" t="s">
        <v>130</v>
      </c>
      <c r="D40" s="13">
        <f>iferror(sumif(E40:R40,"&lt;&gt;")/sumif(E40:R40,"&lt;&gt;",E3:R3),"")</f>
        <v>0.8476923077</v>
      </c>
      <c r="E40" s="12">
        <v>42.0</v>
      </c>
      <c r="F40" s="12">
        <v>92.0</v>
      </c>
      <c r="G40" s="12">
        <v>57.0</v>
      </c>
      <c r="H40" s="12">
        <v>60.0</v>
      </c>
      <c r="I40" s="12"/>
      <c r="J40" s="12">
        <v>100.0</v>
      </c>
      <c r="K40" s="12">
        <v>98.0</v>
      </c>
      <c r="L40" s="12">
        <v>77.0</v>
      </c>
      <c r="M40" s="12">
        <v>80.0</v>
      </c>
      <c r="N40" s="12">
        <v>96.0</v>
      </c>
      <c r="O40" s="12">
        <v>100.0</v>
      </c>
      <c r="P40" s="12">
        <v>100.0</v>
      </c>
      <c r="Q40" s="12">
        <v>100.0</v>
      </c>
      <c r="R40" s="12">
        <v>100.0</v>
      </c>
      <c r="S40" s="14">
        <f t="shared" si="2"/>
        <v>100</v>
      </c>
      <c r="T40" s="14">
        <f t="shared" si="3"/>
        <v>58.5</v>
      </c>
      <c r="U40" s="14">
        <f t="shared" si="4"/>
        <v>66.8</v>
      </c>
    </row>
    <row r="41" ht="24.0" customHeight="1">
      <c r="A41" s="12" t="s">
        <v>131</v>
      </c>
      <c r="B41" s="12" t="s">
        <v>132</v>
      </c>
      <c r="C41" s="12" t="s">
        <v>133</v>
      </c>
      <c r="D41" s="13">
        <f>iferror(sumif(E41:R41,"&lt;&gt;")/sumif(E41:R41,"&lt;&gt;",E3:R3),"")</f>
        <v>0.8090909091</v>
      </c>
      <c r="E41" s="12">
        <v>55.0</v>
      </c>
      <c r="F41" s="12">
        <v>70.0</v>
      </c>
      <c r="G41" s="12">
        <v>42.0</v>
      </c>
      <c r="H41" s="12">
        <v>90.0</v>
      </c>
      <c r="I41" s="12"/>
      <c r="J41" s="12">
        <v>100.0</v>
      </c>
      <c r="K41" s="12">
        <v>100.0</v>
      </c>
      <c r="L41" s="12">
        <v>70.0</v>
      </c>
      <c r="M41" s="12">
        <v>98.0</v>
      </c>
      <c r="N41" s="12"/>
      <c r="O41" s="12">
        <v>80.0</v>
      </c>
      <c r="P41" s="12"/>
      <c r="Q41" s="12">
        <v>85.0</v>
      </c>
      <c r="R41" s="12">
        <v>100.0</v>
      </c>
      <c r="S41" s="14">
        <f t="shared" si="2"/>
        <v>61.66666667</v>
      </c>
      <c r="T41" s="14">
        <f t="shared" si="3"/>
        <v>66</v>
      </c>
      <c r="U41" s="14">
        <f t="shared" si="4"/>
        <v>65.13333333</v>
      </c>
    </row>
    <row r="42" ht="24.0" customHeight="1">
      <c r="A42" s="12" t="s">
        <v>134</v>
      </c>
      <c r="B42" s="12" t="s">
        <v>135</v>
      </c>
      <c r="C42" s="12" t="s">
        <v>136</v>
      </c>
      <c r="D42" s="13">
        <f>iferror(sumif(E42:R42,"&lt;&gt;")/sumif(E42:R42,"&lt;&gt;",E3:R3),"")</f>
        <v>0.05</v>
      </c>
      <c r="E42" s="12">
        <v>0.0</v>
      </c>
      <c r="F42" s="12">
        <v>15.0</v>
      </c>
      <c r="G42" s="12">
        <v>0.0</v>
      </c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4">
        <f t="shared" si="2"/>
        <v>0</v>
      </c>
      <c r="T42" s="14">
        <f t="shared" si="3"/>
        <v>0</v>
      </c>
      <c r="U42" s="14">
        <f t="shared" si="4"/>
        <v>0</v>
      </c>
    </row>
    <row r="43" ht="24.0" customHeight="1">
      <c r="A43" s="12" t="s">
        <v>137</v>
      </c>
      <c r="B43" s="12" t="s">
        <v>138</v>
      </c>
      <c r="C43" s="12" t="s">
        <v>139</v>
      </c>
      <c r="D43" s="13">
        <f>iferror(sumif(E43:R43,"&lt;&gt;")/sumif(E43:R43,"&lt;&gt;",E3:R3),"")</f>
        <v>0.7328571429</v>
      </c>
      <c r="E43" s="12">
        <v>60.0</v>
      </c>
      <c r="F43" s="12">
        <v>80.0</v>
      </c>
      <c r="G43" s="12">
        <v>55.0</v>
      </c>
      <c r="H43" s="12">
        <v>33.0</v>
      </c>
      <c r="I43" s="12"/>
      <c r="J43" s="12">
        <v>97.0</v>
      </c>
      <c r="K43" s="12"/>
      <c r="L43" s="12">
        <v>88.0</v>
      </c>
      <c r="M43" s="12"/>
      <c r="N43" s="12">
        <v>100.0</v>
      </c>
      <c r="O43" s="12"/>
      <c r="P43" s="12"/>
      <c r="Q43" s="12"/>
      <c r="R43" s="12"/>
      <c r="S43" s="14">
        <f t="shared" si="2"/>
        <v>0</v>
      </c>
      <c r="T43" s="14">
        <f t="shared" si="3"/>
        <v>44</v>
      </c>
      <c r="U43" s="14">
        <f t="shared" si="4"/>
        <v>35.2</v>
      </c>
    </row>
    <row r="44" ht="24.0" customHeight="1">
      <c r="A44" s="12" t="s">
        <v>140</v>
      </c>
      <c r="B44" s="12" t="s">
        <v>141</v>
      </c>
      <c r="C44" s="12" t="s">
        <v>142</v>
      </c>
      <c r="D44" s="13">
        <f>iferror(sumif(E44:R44,"&lt;&gt;")/sumif(E44:R44,"&lt;&gt;",E3:R3),"")</f>
        <v>0.7338461538</v>
      </c>
      <c r="E44" s="12">
        <v>33.0</v>
      </c>
      <c r="F44" s="12">
        <v>62.0</v>
      </c>
      <c r="G44" s="12">
        <v>55.0</v>
      </c>
      <c r="H44" s="12">
        <v>74.0</v>
      </c>
      <c r="I44" s="12"/>
      <c r="J44" s="12">
        <v>84.0</v>
      </c>
      <c r="K44" s="12">
        <v>89.0</v>
      </c>
      <c r="L44" s="12">
        <v>65.0</v>
      </c>
      <c r="M44" s="12">
        <v>89.0</v>
      </c>
      <c r="N44" s="12">
        <v>90.0</v>
      </c>
      <c r="O44" s="12">
        <v>50.0</v>
      </c>
      <c r="P44" s="12">
        <v>98.0</v>
      </c>
      <c r="Q44" s="12">
        <v>75.0</v>
      </c>
      <c r="R44" s="12">
        <v>90.0</v>
      </c>
      <c r="S44" s="14">
        <f t="shared" si="2"/>
        <v>87.66666667</v>
      </c>
      <c r="T44" s="14">
        <f t="shared" si="3"/>
        <v>64.5</v>
      </c>
      <c r="U44" s="14">
        <f t="shared" si="4"/>
        <v>69.13333333</v>
      </c>
    </row>
    <row r="45" ht="24.0" customHeight="1">
      <c r="A45" s="12" t="s">
        <v>143</v>
      </c>
      <c r="B45" s="12" t="s">
        <v>144</v>
      </c>
      <c r="C45" s="12" t="s">
        <v>145</v>
      </c>
      <c r="D45" s="13">
        <f>iferror(sumif(E45:R45,"&lt;&gt;")/sumif(E45:R45,"&lt;&gt;",E3:R3),"")</f>
        <v>0.629</v>
      </c>
      <c r="E45" s="12">
        <v>19.0</v>
      </c>
      <c r="F45" s="12">
        <v>80.0</v>
      </c>
      <c r="G45" s="12">
        <v>13.0</v>
      </c>
      <c r="H45" s="12">
        <v>30.0</v>
      </c>
      <c r="I45" s="12"/>
      <c r="J45" s="12">
        <v>99.0</v>
      </c>
      <c r="K45" s="12"/>
      <c r="L45" s="12"/>
      <c r="M45" s="12"/>
      <c r="N45" s="12">
        <v>68.0</v>
      </c>
      <c r="O45" s="12">
        <v>60.0</v>
      </c>
      <c r="P45" s="12">
        <v>90.0</v>
      </c>
      <c r="Q45" s="12">
        <v>90.0</v>
      </c>
      <c r="R45" s="12">
        <v>80.0</v>
      </c>
      <c r="S45" s="14">
        <f t="shared" si="2"/>
        <v>86.66666667</v>
      </c>
      <c r="T45" s="14">
        <f t="shared" si="3"/>
        <v>21.5</v>
      </c>
      <c r="U45" s="14">
        <f t="shared" si="4"/>
        <v>34.53333333</v>
      </c>
    </row>
    <row r="46" ht="24.0" customHeight="1">
      <c r="A46" s="12" t="s">
        <v>146</v>
      </c>
      <c r="B46" s="12" t="s">
        <v>147</v>
      </c>
      <c r="C46" s="12" t="s">
        <v>148</v>
      </c>
      <c r="D46" s="13">
        <f>iferror(sumif(E46:R46,"&lt;&gt;")/sumif(E46:R46,"&lt;&gt;",E3:R3),"")</f>
        <v>0.7692307692</v>
      </c>
      <c r="E46" s="12">
        <v>56.0</v>
      </c>
      <c r="F46" s="12">
        <v>70.0</v>
      </c>
      <c r="G46" s="12">
        <v>50.0</v>
      </c>
      <c r="H46" s="12">
        <v>20.0</v>
      </c>
      <c r="I46" s="12"/>
      <c r="J46" s="12">
        <v>90.0</v>
      </c>
      <c r="K46" s="12">
        <v>89.0</v>
      </c>
      <c r="L46" s="12">
        <v>98.0</v>
      </c>
      <c r="M46" s="12">
        <v>98.0</v>
      </c>
      <c r="N46" s="12">
        <v>96.0</v>
      </c>
      <c r="O46" s="12">
        <v>75.0</v>
      </c>
      <c r="P46" s="12">
        <v>80.0</v>
      </c>
      <c r="Q46" s="12">
        <v>80.0</v>
      </c>
      <c r="R46" s="12">
        <v>98.0</v>
      </c>
      <c r="S46" s="14">
        <f t="shared" si="2"/>
        <v>86</v>
      </c>
      <c r="T46" s="14">
        <f t="shared" si="3"/>
        <v>35</v>
      </c>
      <c r="U46" s="14">
        <f t="shared" si="4"/>
        <v>45.2</v>
      </c>
    </row>
    <row r="47" ht="24.0" customHeight="1">
      <c r="A47" s="12" t="s">
        <v>149</v>
      </c>
      <c r="B47" s="12" t="s">
        <v>150</v>
      </c>
      <c r="C47" s="12" t="s">
        <v>151</v>
      </c>
      <c r="D47" s="13">
        <f>iferror(sumif(E47:R47,"&lt;&gt;")/sumif(E47:R47,"&lt;&gt;",E3:R3),"")</f>
        <v>0.328</v>
      </c>
      <c r="E47" s="12">
        <v>20.0</v>
      </c>
      <c r="F47" s="12">
        <v>60.0</v>
      </c>
      <c r="G47" s="12">
        <v>10.0</v>
      </c>
      <c r="H47" s="12">
        <v>15.0</v>
      </c>
      <c r="I47" s="12"/>
      <c r="J47" s="12">
        <v>59.0</v>
      </c>
      <c r="K47" s="12"/>
      <c r="L47" s="12"/>
      <c r="M47" s="12"/>
      <c r="N47" s="12"/>
      <c r="O47" s="12"/>
      <c r="P47" s="12"/>
      <c r="Q47" s="12"/>
      <c r="R47" s="12"/>
      <c r="S47" s="14">
        <f t="shared" si="2"/>
        <v>0</v>
      </c>
      <c r="T47" s="14">
        <f t="shared" si="3"/>
        <v>12.5</v>
      </c>
      <c r="U47" s="14">
        <f t="shared" si="4"/>
        <v>10</v>
      </c>
    </row>
    <row r="48" ht="24.0" customHeight="1">
      <c r="A48" s="12" t="s">
        <v>152</v>
      </c>
      <c r="B48" s="12" t="s">
        <v>153</v>
      </c>
      <c r="C48" s="12" t="s">
        <v>154</v>
      </c>
      <c r="D48" s="13">
        <f>iferror(sumif(E48:R48,"&lt;&gt;")/sumif(E48:R48,"&lt;&gt;",E3:R3),"")</f>
        <v>0.2916666667</v>
      </c>
      <c r="E48" s="12">
        <v>30.0</v>
      </c>
      <c r="F48" s="12">
        <v>0.0</v>
      </c>
      <c r="G48" s="12">
        <v>0.0</v>
      </c>
      <c r="H48" s="12">
        <v>0.0</v>
      </c>
      <c r="I48" s="12"/>
      <c r="J48" s="12"/>
      <c r="K48" s="12"/>
      <c r="L48" s="12">
        <v>65.0</v>
      </c>
      <c r="M48" s="12">
        <v>80.0</v>
      </c>
      <c r="N48" s="12"/>
      <c r="O48" s="12"/>
      <c r="P48" s="12"/>
      <c r="Q48" s="12"/>
      <c r="R48" s="12"/>
      <c r="S48" s="14">
        <f t="shared" si="2"/>
        <v>0</v>
      </c>
      <c r="T48" s="14">
        <f t="shared" si="3"/>
        <v>0</v>
      </c>
      <c r="U48" s="14">
        <f t="shared" si="4"/>
        <v>0</v>
      </c>
    </row>
    <row r="49" ht="24.0" customHeight="1">
      <c r="A49" s="12" t="s">
        <v>155</v>
      </c>
      <c r="B49" s="12" t="s">
        <v>156</v>
      </c>
      <c r="C49" s="12" t="s">
        <v>157</v>
      </c>
      <c r="D49" s="13">
        <f>iferror(sumif(E49:R49,"&lt;&gt;")/sumif(E49:R49,"&lt;&gt;",E3:R3),"")</f>
        <v>0.374</v>
      </c>
      <c r="E49" s="12">
        <v>0.0</v>
      </c>
      <c r="F49" s="12">
        <v>10.0</v>
      </c>
      <c r="G49" s="12">
        <v>0.0</v>
      </c>
      <c r="H49" s="12"/>
      <c r="I49" s="12"/>
      <c r="J49" s="12"/>
      <c r="K49" s="12">
        <v>96.0</v>
      </c>
      <c r="L49" s="12"/>
      <c r="M49" s="12"/>
      <c r="N49" s="12">
        <v>81.0</v>
      </c>
      <c r="O49" s="12"/>
      <c r="P49" s="12"/>
      <c r="Q49" s="12"/>
      <c r="R49" s="12"/>
      <c r="S49" s="14">
        <f t="shared" si="2"/>
        <v>0</v>
      </c>
      <c r="T49" s="14">
        <f t="shared" si="3"/>
        <v>0</v>
      </c>
      <c r="U49" s="14">
        <f t="shared" si="4"/>
        <v>0</v>
      </c>
    </row>
    <row r="50" ht="24.0" customHeight="1">
      <c r="A50" s="12" t="s">
        <v>158</v>
      </c>
      <c r="B50" s="12" t="s">
        <v>159</v>
      </c>
      <c r="C50" s="12" t="s">
        <v>160</v>
      </c>
      <c r="D50" s="13">
        <f>iferror(sumif(E50:R50,"&lt;&gt;")/sumif(E50:R50,"&lt;&gt;",E3:R3),"")</f>
        <v>0.6042857143</v>
      </c>
      <c r="E50" s="12">
        <v>0.0</v>
      </c>
      <c r="F50" s="12">
        <v>0.0</v>
      </c>
      <c r="G50" s="12"/>
      <c r="H50" s="12"/>
      <c r="I50" s="12"/>
      <c r="J50" s="12">
        <v>85.0</v>
      </c>
      <c r="K50" s="12">
        <v>84.0</v>
      </c>
      <c r="L50" s="12">
        <v>68.0</v>
      </c>
      <c r="M50" s="12"/>
      <c r="N50" s="12">
        <v>88.0</v>
      </c>
      <c r="O50" s="12">
        <v>98.0</v>
      </c>
      <c r="P50" s="12"/>
      <c r="Q50" s="12"/>
      <c r="R50" s="12"/>
      <c r="S50" s="14">
        <f t="shared" si="2"/>
        <v>0</v>
      </c>
      <c r="T50" s="14">
        <f t="shared" si="3"/>
        <v>0</v>
      </c>
      <c r="U50" s="14">
        <f t="shared" si="4"/>
        <v>0</v>
      </c>
    </row>
    <row r="51" ht="24.0" customHeight="1">
      <c r="A51" s="12" t="s">
        <v>161</v>
      </c>
      <c r="B51" s="12" t="s">
        <v>162</v>
      </c>
      <c r="C51" s="12" t="s">
        <v>163</v>
      </c>
      <c r="D51" s="13">
        <f>iferror(sumif(E51:R51,"&lt;&gt;")/sumif(E51:R51,"&lt;&gt;",E3:R3),"")</f>
        <v>0.3</v>
      </c>
      <c r="E51" s="12"/>
      <c r="F51" s="12"/>
      <c r="G51" s="12"/>
      <c r="H51" s="12"/>
      <c r="I51" s="12"/>
      <c r="J51" s="12"/>
      <c r="K51" s="12"/>
      <c r="L51" s="12"/>
      <c r="M51" s="12">
        <v>30.0</v>
      </c>
      <c r="N51" s="12"/>
      <c r="O51" s="12"/>
      <c r="P51" s="12"/>
      <c r="Q51" s="12"/>
      <c r="R51" s="12"/>
      <c r="S51" s="14">
        <f t="shared" si="2"/>
        <v>0</v>
      </c>
      <c r="T51" s="14">
        <f t="shared" si="3"/>
        <v>0</v>
      </c>
      <c r="U51" s="14">
        <f t="shared" si="4"/>
        <v>0</v>
      </c>
    </row>
    <row r="52" ht="24.0" customHeight="1">
      <c r="A52" s="12" t="s">
        <v>164</v>
      </c>
      <c r="B52" s="12" t="s">
        <v>165</v>
      </c>
      <c r="C52" s="12" t="s">
        <v>166</v>
      </c>
      <c r="D52" s="13" t="str">
        <f>iferror(sumif(E52:R52,"&lt;&gt;")/sumif(E52:R52,"&lt;&gt;",E3:R3),"")</f>
        <v/>
      </c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4">
        <f t="shared" si="2"/>
        <v>0</v>
      </c>
      <c r="T52" s="14">
        <f t="shared" si="3"/>
        <v>0</v>
      </c>
      <c r="U52" s="14">
        <f t="shared" si="4"/>
        <v>0</v>
      </c>
    </row>
    <row r="53" ht="24.0" customHeight="1">
      <c r="A53" s="12" t="s">
        <v>167</v>
      </c>
      <c r="B53" s="12" t="s">
        <v>168</v>
      </c>
      <c r="C53" s="12" t="s">
        <v>169</v>
      </c>
      <c r="D53" s="13" t="str">
        <f>iferror(sumif(E53:R53,"&lt;&gt;")/sumif(E53:R53,"&lt;&gt;",E3:R3),"")</f>
        <v/>
      </c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4">
        <f t="shared" si="2"/>
        <v>0</v>
      </c>
      <c r="T53" s="14">
        <f t="shared" si="3"/>
        <v>0</v>
      </c>
      <c r="U53" s="14">
        <f t="shared" si="4"/>
        <v>0</v>
      </c>
    </row>
    <row r="54" ht="24.0" customHeight="1">
      <c r="A54" s="12" t="s">
        <v>170</v>
      </c>
      <c r="B54" s="12" t="s">
        <v>171</v>
      </c>
      <c r="C54" s="12" t="s">
        <v>172</v>
      </c>
      <c r="D54" s="13">
        <f>iferror(sumif(E54:R54,"&lt;&gt;")/sumif(E54:R54,"&lt;&gt;",E3:R3),"")</f>
        <v>0.305</v>
      </c>
      <c r="E54" s="12">
        <v>0.0</v>
      </c>
      <c r="F54" s="12">
        <v>22.0</v>
      </c>
      <c r="G54" s="12">
        <v>0.0</v>
      </c>
      <c r="H54" s="12"/>
      <c r="I54" s="12"/>
      <c r="J54" s="12">
        <v>100.0</v>
      </c>
      <c r="K54" s="12"/>
      <c r="L54" s="12"/>
      <c r="M54" s="12"/>
      <c r="N54" s="12"/>
      <c r="O54" s="12"/>
      <c r="P54" s="12"/>
      <c r="Q54" s="12"/>
      <c r="R54" s="12"/>
      <c r="S54" s="14">
        <f t="shared" si="2"/>
        <v>0</v>
      </c>
      <c r="T54" s="14">
        <f t="shared" si="3"/>
        <v>0</v>
      </c>
      <c r="U54" s="14">
        <f t="shared" si="4"/>
        <v>0</v>
      </c>
    </row>
    <row r="55" ht="24.0" customHeight="1">
      <c r="A55" s="12" t="s">
        <v>173</v>
      </c>
      <c r="B55" s="12" t="s">
        <v>174</v>
      </c>
      <c r="C55" s="12" t="s">
        <v>175</v>
      </c>
      <c r="D55" s="13">
        <f>iferror(sumif(E55:R55,"&lt;&gt;")/sumif(E55:R55,"&lt;&gt;",E3:R3),"")</f>
        <v>0.558</v>
      </c>
      <c r="E55" s="12">
        <v>10.0</v>
      </c>
      <c r="F55" s="12"/>
      <c r="G55" s="12">
        <v>2.0</v>
      </c>
      <c r="H55" s="12"/>
      <c r="I55" s="12"/>
      <c r="J55" s="12">
        <v>85.0</v>
      </c>
      <c r="K55" s="12">
        <v>92.0</v>
      </c>
      <c r="L55" s="12">
        <v>90.0</v>
      </c>
      <c r="M55" s="12"/>
      <c r="N55" s="12"/>
      <c r="O55" s="12"/>
      <c r="P55" s="12"/>
      <c r="Q55" s="12"/>
      <c r="R55" s="12"/>
      <c r="S55" s="14">
        <f t="shared" si="2"/>
        <v>0</v>
      </c>
      <c r="T55" s="14">
        <f t="shared" si="3"/>
        <v>1</v>
      </c>
      <c r="U55" s="14">
        <f t="shared" si="4"/>
        <v>0.8</v>
      </c>
    </row>
    <row r="56" ht="24.0" customHeight="1">
      <c r="A56" s="12" t="s">
        <v>176</v>
      </c>
      <c r="B56" s="12" t="s">
        <v>177</v>
      </c>
      <c r="C56" s="12" t="s">
        <v>178</v>
      </c>
      <c r="D56" s="13">
        <f>iferror(sumif(E56:R56,"&lt;&gt;")/sumif(E56:R56,"&lt;&gt;",E3:R3),"")</f>
        <v>0.175</v>
      </c>
      <c r="E56" s="12">
        <v>15.0</v>
      </c>
      <c r="F56" s="12">
        <v>20.0</v>
      </c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4">
        <f t="shared" si="2"/>
        <v>0</v>
      </c>
      <c r="T56" s="14">
        <f t="shared" si="3"/>
        <v>0</v>
      </c>
      <c r="U56" s="14">
        <f t="shared" si="4"/>
        <v>0</v>
      </c>
    </row>
    <row r="57" ht="24.0" customHeight="1">
      <c r="A57" s="12" t="s">
        <v>179</v>
      </c>
      <c r="B57" s="12" t="s">
        <v>180</v>
      </c>
      <c r="C57" s="12" t="s">
        <v>181</v>
      </c>
      <c r="D57" s="13">
        <f>iferror(sumif(E57:R57,"&lt;&gt;")/sumif(E57:R57,"&lt;&gt;",E3:R3),"")</f>
        <v>0.175</v>
      </c>
      <c r="E57" s="12">
        <v>35.0</v>
      </c>
      <c r="F57" s="12"/>
      <c r="G57" s="12">
        <v>0.0</v>
      </c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4">
        <f t="shared" si="2"/>
        <v>0</v>
      </c>
      <c r="T57" s="14">
        <f t="shared" si="3"/>
        <v>0</v>
      </c>
      <c r="U57" s="14">
        <f t="shared" si="4"/>
        <v>0</v>
      </c>
    </row>
    <row r="58" ht="24.0" customHeight="1">
      <c r="A58" s="12" t="s">
        <v>182</v>
      </c>
      <c r="B58" s="12" t="s">
        <v>183</v>
      </c>
      <c r="C58" s="12" t="s">
        <v>184</v>
      </c>
      <c r="D58" s="13">
        <f>iferror(sumif(E58:R58,"&lt;&gt;")/sumif(E58:R58,"&lt;&gt;",E3:R3),"")</f>
        <v>0.2475</v>
      </c>
      <c r="E58" s="12">
        <v>4.0</v>
      </c>
      <c r="F58" s="12">
        <v>0.0</v>
      </c>
      <c r="G58" s="12">
        <v>0.0</v>
      </c>
      <c r="H58" s="12"/>
      <c r="I58" s="12"/>
      <c r="J58" s="12">
        <v>95.0</v>
      </c>
      <c r="K58" s="12"/>
      <c r="L58" s="12"/>
      <c r="M58" s="12"/>
      <c r="N58" s="12"/>
      <c r="O58" s="12"/>
      <c r="P58" s="12"/>
      <c r="Q58" s="12"/>
      <c r="R58" s="12"/>
      <c r="S58" s="14">
        <f t="shared" si="2"/>
        <v>0</v>
      </c>
      <c r="T58" s="14">
        <f t="shared" si="3"/>
        <v>0</v>
      </c>
      <c r="U58" s="14">
        <f t="shared" si="4"/>
        <v>0</v>
      </c>
    </row>
    <row r="59" ht="24.0" customHeight="1">
      <c r="A59" s="12" t="s">
        <v>185</v>
      </c>
      <c r="B59" s="12" t="s">
        <v>186</v>
      </c>
      <c r="C59" s="12" t="s">
        <v>187</v>
      </c>
      <c r="D59" s="13">
        <f>iferror(sumif(E59:R59,"&lt;&gt;")/sumif(E59:R59,"&lt;&gt;",E3:R3),"")</f>
        <v>0.91</v>
      </c>
      <c r="E59" s="12"/>
      <c r="F59" s="12"/>
      <c r="G59" s="12"/>
      <c r="H59" s="12"/>
      <c r="I59" s="12"/>
      <c r="J59" s="12">
        <v>91.0</v>
      </c>
      <c r="K59" s="12"/>
      <c r="L59" s="12"/>
      <c r="M59" s="12"/>
      <c r="N59" s="12"/>
      <c r="O59" s="12"/>
      <c r="P59" s="12"/>
      <c r="Q59" s="12"/>
      <c r="R59" s="12"/>
      <c r="S59" s="14">
        <f t="shared" si="2"/>
        <v>0</v>
      </c>
      <c r="T59" s="14">
        <f t="shared" si="3"/>
        <v>0</v>
      </c>
      <c r="U59" s="14">
        <f t="shared" si="4"/>
        <v>0</v>
      </c>
    </row>
    <row r="60" ht="24.0" customHeight="1">
      <c r="S60" s="14">
        <f t="shared" si="2"/>
        <v>0</v>
      </c>
      <c r="T60" s="14">
        <f t="shared" si="3"/>
        <v>0</v>
      </c>
      <c r="U60" s="14">
        <f t="shared" si="4"/>
        <v>0</v>
      </c>
    </row>
    <row r="61" ht="24.0" customHeight="1">
      <c r="S61" s="14">
        <f t="shared" si="2"/>
        <v>0</v>
      </c>
      <c r="T61" s="14">
        <f t="shared" si="3"/>
        <v>0</v>
      </c>
      <c r="U61" s="14">
        <f t="shared" si="4"/>
        <v>0</v>
      </c>
    </row>
    <row r="62" ht="24.0" customHeight="1">
      <c r="T62" s="14">
        <f t="shared" si="3"/>
        <v>0</v>
      </c>
      <c r="U62" s="14">
        <f t="shared" si="4"/>
        <v>0</v>
      </c>
    </row>
    <row r="63" ht="24.0" customHeight="1">
      <c r="T63" s="14">
        <f t="shared" si="3"/>
        <v>0</v>
      </c>
      <c r="U63" s="14">
        <f t="shared" si="4"/>
        <v>0</v>
      </c>
    </row>
    <row r="64" ht="24.0" customHeight="1">
      <c r="T64" s="14">
        <f t="shared" si="3"/>
        <v>0</v>
      </c>
      <c r="U64" s="14">
        <f t="shared" si="4"/>
        <v>0</v>
      </c>
    </row>
    <row r="65" ht="24.0" customHeight="1">
      <c r="T65" s="14">
        <f t="shared" si="3"/>
        <v>0</v>
      </c>
      <c r="U65" s="14">
        <f t="shared" si="4"/>
        <v>0</v>
      </c>
    </row>
    <row r="66" ht="24.0" customHeight="1">
      <c r="T66" s="14">
        <f t="shared" si="3"/>
        <v>0</v>
      </c>
      <c r="U66" s="14">
        <f t="shared" si="4"/>
        <v>0</v>
      </c>
    </row>
    <row r="67" ht="24.0" customHeight="1">
      <c r="T67" s="14">
        <f t="shared" si="3"/>
        <v>0</v>
      </c>
      <c r="U67" s="14">
        <f t="shared" si="4"/>
        <v>0</v>
      </c>
    </row>
    <row r="68" ht="24.0" customHeight="1">
      <c r="T68" s="14">
        <f t="shared" si="3"/>
        <v>0</v>
      </c>
      <c r="U68" s="14">
        <f t="shared" si="4"/>
        <v>0</v>
      </c>
    </row>
    <row r="69" ht="24.0" customHeight="1">
      <c r="T69" s="14">
        <f t="shared" si="3"/>
        <v>0</v>
      </c>
      <c r="U69" s="14">
        <f t="shared" si="4"/>
        <v>0</v>
      </c>
    </row>
    <row r="70" ht="24.0" customHeight="1">
      <c r="T70" s="14">
        <f t="shared" si="3"/>
        <v>0</v>
      </c>
      <c r="U70" s="14">
        <f t="shared" si="4"/>
        <v>0</v>
      </c>
    </row>
    <row r="71" ht="24.0" customHeight="1"/>
    <row r="72" ht="24.0" customHeight="1"/>
    <row r="73" ht="24.0" customHeight="1"/>
    <row r="74" ht="24.0" customHeight="1"/>
    <row r="75" ht="24.0" customHeight="1"/>
    <row r="76" ht="24.0" customHeight="1"/>
    <row r="77" ht="24.0" customHeight="1"/>
    <row r="78" ht="24.0" customHeight="1"/>
    <row r="79" ht="24.0" customHeight="1"/>
    <row r="80" ht="24.0" customHeight="1"/>
    <row r="81" ht="24.0" customHeight="1"/>
    <row r="82" ht="24.0" customHeight="1"/>
    <row r="83" ht="24.0" customHeight="1"/>
    <row r="84" ht="24.0" customHeight="1"/>
    <row r="85" ht="24.0" customHeight="1"/>
    <row r="86" ht="24.0" customHeight="1"/>
    <row r="87" ht="24.0" customHeight="1"/>
    <row r="88" ht="24.0" customHeight="1"/>
    <row r="89" ht="24.0" customHeight="1"/>
    <row r="90" ht="24.0" customHeight="1"/>
    <row r="91" ht="24.0" customHeight="1"/>
    <row r="92" ht="24.0" customHeight="1"/>
    <row r="93" ht="24.0" customHeight="1"/>
    <row r="94" ht="24.0" customHeight="1"/>
    <row r="95" ht="24.0" customHeight="1"/>
    <row r="96" ht="24.0" customHeight="1"/>
    <row r="97" ht="24.0" customHeight="1"/>
    <row r="98" ht="24.0" customHeight="1"/>
    <row r="99" ht="24.0" customHeight="1"/>
    <row r="100" ht="24.0" customHeight="1"/>
    <row r="101" ht="24.0" customHeight="1"/>
    <row r="102" ht="24.0" customHeight="1"/>
    <row r="103" ht="24.0" customHeight="1"/>
    <row r="104" ht="24.0" customHeight="1"/>
    <row r="105" ht="24.0" customHeight="1"/>
    <row r="106" ht="24.0" customHeight="1"/>
    <row r="107" ht="24.0" customHeight="1"/>
    <row r="108" ht="24.0" customHeight="1"/>
    <row r="109" ht="24.0" customHeight="1"/>
    <row r="110" ht="24.0" customHeight="1"/>
    <row r="111" ht="24.0" customHeight="1"/>
    <row r="112" ht="24.0" customHeight="1"/>
    <row r="113" ht="24.0" customHeight="1"/>
    <row r="114" ht="24.0" customHeight="1"/>
    <row r="115" ht="24.0" customHeight="1"/>
    <row r="116" ht="24.0" customHeight="1"/>
    <row r="117" ht="24.0" customHeight="1"/>
    <row r="118" ht="24.0" customHeight="1"/>
    <row r="119" ht="24.0" customHeight="1"/>
    <row r="120" ht="24.0" customHeight="1"/>
    <row r="121" ht="24.0" customHeight="1"/>
    <row r="122" ht="24.0" customHeight="1"/>
    <row r="123" ht="24.0" customHeight="1"/>
    <row r="124" ht="24.0" customHeight="1"/>
    <row r="125" ht="24.0" customHeight="1"/>
    <row r="126" ht="24.0" customHeight="1"/>
    <row r="127" ht="24.0" customHeight="1"/>
    <row r="128" ht="24.0" customHeight="1"/>
    <row r="129" ht="24.0" customHeight="1"/>
    <row r="130" ht="24.0" customHeight="1"/>
    <row r="131" ht="24.0" customHeight="1"/>
    <row r="132" ht="24.0" customHeight="1"/>
    <row r="133" ht="24.0" customHeight="1"/>
    <row r="134" ht="24.0" customHeight="1"/>
    <row r="135" ht="24.0" customHeight="1"/>
    <row r="136" ht="24.0" customHeight="1"/>
    <row r="137" ht="24.0" customHeight="1"/>
    <row r="138" ht="24.0" customHeight="1"/>
    <row r="139" ht="24.0" customHeight="1"/>
    <row r="140" ht="24.0" customHeight="1"/>
    <row r="141" ht="24.0" customHeight="1"/>
    <row r="142" ht="24.0" customHeight="1"/>
    <row r="143" ht="24.0" customHeight="1"/>
    <row r="144" ht="24.0" customHeight="1"/>
    <row r="145" ht="24.0" customHeight="1"/>
    <row r="146" ht="24.0" customHeight="1"/>
    <row r="147" ht="24.0" customHeight="1"/>
    <row r="148" ht="24.0" customHeight="1"/>
    <row r="149" ht="24.0" customHeight="1"/>
    <row r="150" ht="24.0" customHeight="1"/>
    <row r="151" ht="24.0" customHeight="1"/>
    <row r="152" ht="24.0" customHeight="1"/>
    <row r="153" ht="24.0" customHeight="1"/>
    <row r="154" ht="24.0" customHeight="1"/>
    <row r="155" ht="24.0" customHeight="1"/>
    <row r="156" ht="24.0" customHeight="1"/>
    <row r="157" ht="24.0" customHeight="1"/>
    <row r="158" ht="24.0" customHeight="1"/>
    <row r="159" ht="24.0" customHeight="1"/>
    <row r="160" ht="24.0" customHeight="1"/>
    <row r="161" ht="24.0" customHeight="1"/>
    <row r="162" ht="24.0" customHeight="1"/>
    <row r="163" ht="24.0" customHeight="1"/>
    <row r="164" ht="24.0" customHeight="1"/>
    <row r="165" ht="24.0" customHeight="1"/>
    <row r="166" ht="24.0" customHeight="1"/>
    <row r="167" ht="24.0" customHeight="1"/>
    <row r="168" ht="24.0" customHeight="1"/>
    <row r="169" ht="24.0" customHeight="1"/>
    <row r="170" ht="24.0" customHeight="1"/>
    <row r="171" ht="24.0" customHeight="1"/>
    <row r="172" ht="24.0" customHeight="1"/>
    <row r="173" ht="24.0" customHeight="1"/>
    <row r="174" ht="24.0" customHeight="1"/>
    <row r="175" ht="24.0" customHeight="1"/>
    <row r="176" ht="24.0" customHeight="1"/>
    <row r="177" ht="24.0" customHeight="1"/>
    <row r="178" ht="24.0" customHeight="1"/>
    <row r="179" ht="24.0" customHeight="1"/>
    <row r="180" ht="24.0" customHeight="1"/>
    <row r="181" ht="24.0" customHeight="1"/>
    <row r="182" ht="24.0" customHeight="1"/>
    <row r="183" ht="24.0" customHeight="1"/>
    <row r="184" ht="24.0" customHeight="1"/>
    <row r="185" ht="24.0" customHeight="1"/>
    <row r="186" ht="24.0" customHeight="1"/>
    <row r="187" ht="24.0" customHeight="1"/>
    <row r="188" ht="24.0" customHeight="1"/>
    <row r="189" ht="24.0" customHeight="1"/>
    <row r="190" ht="24.0" customHeight="1"/>
    <row r="191" ht="24.0" customHeight="1"/>
    <row r="192" ht="24.0" customHeight="1"/>
    <row r="193" ht="24.0" customHeight="1"/>
    <row r="194" ht="24.0" customHeight="1"/>
    <row r="195" ht="24.0" customHeight="1"/>
    <row r="196" ht="24.0" customHeight="1"/>
    <row r="197" ht="24.0" customHeight="1"/>
    <row r="198" ht="24.0" customHeight="1"/>
    <row r="199" ht="24.0" customHeight="1"/>
    <row r="200" ht="24.0" customHeight="1"/>
    <row r="201" ht="24.0" customHeight="1"/>
    <row r="202" ht="24.0" customHeight="1"/>
    <row r="203" ht="24.0" customHeight="1"/>
    <row r="204" ht="24.0" customHeight="1"/>
    <row r="205" ht="24.0" customHeight="1"/>
    <row r="206" ht="24.0" customHeight="1"/>
    <row r="207" ht="24.0" customHeight="1"/>
    <row r="208" ht="24.0" customHeight="1"/>
    <row r="209" ht="24.0" customHeight="1"/>
    <row r="210" ht="24.0" customHeight="1"/>
    <row r="211" ht="24.0" customHeight="1"/>
    <row r="212" ht="24.0" customHeight="1"/>
    <row r="213" ht="24.0" customHeight="1"/>
    <row r="214" ht="24.0" customHeight="1"/>
    <row r="215" ht="24.0" customHeight="1"/>
    <row r="216" ht="24.0" customHeight="1"/>
    <row r="217" ht="24.0" customHeight="1"/>
    <row r="218" ht="24.0" customHeight="1"/>
    <row r="219" ht="24.0" customHeight="1"/>
    <row r="220" ht="24.0" customHeight="1"/>
    <row r="221" ht="24.0" customHeight="1"/>
    <row r="222" ht="24.0" customHeight="1"/>
    <row r="223" ht="24.0" customHeight="1"/>
    <row r="224" ht="24.0" customHeight="1"/>
    <row r="225" ht="24.0" customHeight="1"/>
    <row r="226" ht="24.0" customHeight="1"/>
    <row r="227" ht="24.0" customHeight="1"/>
    <row r="228" ht="24.0" customHeight="1"/>
    <row r="229" ht="24.0" customHeight="1"/>
    <row r="230" ht="24.0" customHeight="1"/>
    <row r="231" ht="24.0" customHeight="1"/>
    <row r="232" ht="24.0" customHeight="1"/>
    <row r="233" ht="24.0" customHeight="1"/>
    <row r="234" ht="24.0" customHeight="1"/>
    <row r="235" ht="24.0" customHeight="1"/>
    <row r="236" ht="24.0" customHeight="1"/>
    <row r="237" ht="24.0" customHeight="1"/>
    <row r="238" ht="24.0" customHeight="1"/>
    <row r="239" ht="24.0" customHeight="1"/>
    <row r="240" ht="24.0" customHeight="1"/>
    <row r="241" ht="24.0" customHeight="1"/>
    <row r="242" ht="24.0" customHeight="1"/>
    <row r="243" ht="24.0" customHeight="1"/>
    <row r="244" ht="24.0" customHeight="1"/>
    <row r="245" ht="24.0" customHeight="1"/>
    <row r="246" ht="24.0" customHeight="1"/>
    <row r="247" ht="24.0" customHeight="1"/>
    <row r="248" ht="24.0" customHeight="1"/>
    <row r="249" ht="24.0" customHeight="1"/>
    <row r="250" ht="24.0" customHeight="1"/>
    <row r="251" ht="24.0" customHeight="1"/>
    <row r="252" ht="24.0" customHeight="1"/>
    <row r="253" ht="24.0" customHeight="1"/>
    <row r="254" ht="24.0" customHeight="1"/>
    <row r="255" ht="24.0" customHeight="1"/>
    <row r="256" ht="24.0" customHeight="1"/>
    <row r="257" ht="24.0" customHeight="1"/>
    <row r="258" ht="24.0" customHeight="1"/>
    <row r="259" ht="24.0" customHeight="1"/>
    <row r="260" ht="24.0" customHeight="1"/>
    <row r="261" ht="24.0" customHeight="1"/>
    <row r="262" ht="24.0" customHeight="1"/>
    <row r="263" ht="24.0" customHeight="1"/>
    <row r="264" ht="24.0" customHeight="1"/>
    <row r="265" ht="24.0" customHeight="1"/>
    <row r="266" ht="24.0" customHeight="1"/>
    <row r="267" ht="24.0" customHeight="1"/>
    <row r="268" ht="24.0" customHeight="1"/>
    <row r="269" ht="24.0" customHeight="1"/>
    <row r="270" ht="24.0" customHeight="1"/>
    <row r="271" ht="24.0" customHeight="1"/>
    <row r="272" ht="24.0" customHeight="1"/>
    <row r="273" ht="24.0" customHeight="1"/>
    <row r="274" ht="24.0" customHeight="1"/>
    <row r="275" ht="24.0" customHeight="1"/>
    <row r="276" ht="24.0" customHeight="1"/>
    <row r="277" ht="24.0" customHeight="1"/>
    <row r="278" ht="24.0" customHeight="1"/>
    <row r="279" ht="24.0" customHeight="1"/>
    <row r="280" ht="24.0" customHeight="1"/>
    <row r="281" ht="24.0" customHeight="1"/>
    <row r="282" ht="24.0" customHeight="1"/>
    <row r="283" ht="24.0" customHeight="1"/>
    <row r="284" ht="24.0" customHeight="1"/>
    <row r="285" ht="24.0" customHeight="1"/>
    <row r="286" ht="24.0" customHeight="1"/>
    <row r="287" ht="24.0" customHeight="1"/>
    <row r="288" ht="24.0" customHeight="1"/>
    <row r="289" ht="24.0" customHeight="1"/>
    <row r="290" ht="24.0" customHeight="1"/>
    <row r="291" ht="24.0" customHeight="1"/>
    <row r="292" ht="24.0" customHeight="1"/>
    <row r="293" ht="24.0" customHeight="1"/>
    <row r="294" ht="24.0" customHeight="1"/>
    <row r="295" ht="24.0" customHeight="1"/>
    <row r="296" ht="24.0" customHeight="1"/>
    <row r="297" ht="24.0" customHeight="1"/>
    <row r="298" ht="24.0" customHeight="1"/>
    <row r="299" ht="24.0" customHeight="1"/>
    <row r="300" ht="24.0" customHeight="1"/>
    <row r="301" ht="24.0" customHeight="1"/>
    <row r="302" ht="24.0" customHeight="1"/>
    <row r="303" ht="24.0" customHeight="1"/>
    <row r="304" ht="24.0" customHeight="1"/>
    <row r="305" ht="24.0" customHeight="1"/>
    <row r="306" ht="24.0" customHeight="1"/>
    <row r="307" ht="24.0" customHeight="1"/>
    <row r="308" ht="24.0" customHeight="1"/>
    <row r="309" ht="24.0" customHeight="1"/>
    <row r="310" ht="24.0" customHeight="1"/>
    <row r="311" ht="24.0" customHeight="1"/>
    <row r="312" ht="24.0" customHeight="1"/>
    <row r="313" ht="24.0" customHeight="1"/>
    <row r="314" ht="24.0" customHeight="1"/>
    <row r="315" ht="24.0" customHeight="1"/>
    <row r="316" ht="24.0" customHeight="1"/>
    <row r="317" ht="24.0" customHeight="1"/>
    <row r="318" ht="24.0" customHeight="1"/>
    <row r="319" ht="24.0" customHeight="1"/>
    <row r="320" ht="24.0" customHeight="1"/>
    <row r="321" ht="24.0" customHeight="1"/>
    <row r="322" ht="24.0" customHeight="1"/>
    <row r="323" ht="24.0" customHeight="1"/>
    <row r="324" ht="24.0" customHeight="1"/>
    <row r="325" ht="24.0" customHeight="1"/>
    <row r="326" ht="24.0" customHeight="1"/>
    <row r="327" ht="24.0" customHeight="1"/>
    <row r="328" ht="24.0" customHeight="1"/>
    <row r="329" ht="24.0" customHeight="1"/>
    <row r="330" ht="24.0" customHeight="1"/>
    <row r="331" ht="24.0" customHeight="1"/>
    <row r="332" ht="24.0" customHeight="1"/>
    <row r="333" ht="24.0" customHeight="1"/>
    <row r="334" ht="24.0" customHeight="1"/>
    <row r="335" ht="24.0" customHeight="1"/>
    <row r="336" ht="24.0" customHeight="1"/>
    <row r="337" ht="24.0" customHeight="1"/>
    <row r="338" ht="24.0" customHeight="1"/>
    <row r="339" ht="24.0" customHeight="1"/>
    <row r="340" ht="24.0" customHeight="1"/>
    <row r="341" ht="24.0" customHeight="1"/>
    <row r="342" ht="24.0" customHeight="1"/>
    <row r="343" ht="24.0" customHeight="1"/>
    <row r="344" ht="24.0" customHeight="1"/>
    <row r="345" ht="24.0" customHeight="1"/>
    <row r="346" ht="24.0" customHeight="1"/>
    <row r="347" ht="24.0" customHeight="1"/>
    <row r="348" ht="24.0" customHeight="1"/>
    <row r="349" ht="24.0" customHeight="1"/>
    <row r="350" ht="24.0" customHeight="1"/>
    <row r="351" ht="24.0" customHeight="1"/>
    <row r="352" ht="24.0" customHeight="1"/>
    <row r="353" ht="24.0" customHeight="1"/>
    <row r="354" ht="24.0" customHeight="1"/>
    <row r="355" ht="24.0" customHeight="1"/>
    <row r="356" ht="24.0" customHeight="1"/>
    <row r="357" ht="24.0" customHeight="1"/>
    <row r="358" ht="24.0" customHeight="1"/>
    <row r="359" ht="24.0" customHeight="1"/>
    <row r="360" ht="24.0" customHeight="1"/>
    <row r="361" ht="24.0" customHeight="1"/>
    <row r="362" ht="24.0" customHeight="1"/>
    <row r="363" ht="24.0" customHeight="1"/>
    <row r="364" ht="24.0" customHeight="1"/>
    <row r="365" ht="24.0" customHeight="1"/>
    <row r="366" ht="24.0" customHeight="1"/>
    <row r="367" ht="24.0" customHeight="1"/>
    <row r="368" ht="24.0" customHeight="1"/>
    <row r="369" ht="24.0" customHeight="1"/>
    <row r="370" ht="24.0" customHeight="1"/>
    <row r="371" ht="24.0" customHeight="1"/>
    <row r="372" ht="24.0" customHeight="1"/>
    <row r="373" ht="24.0" customHeight="1"/>
    <row r="374" ht="24.0" customHeight="1"/>
    <row r="375" ht="24.0" customHeight="1"/>
    <row r="376" ht="24.0" customHeight="1"/>
    <row r="377" ht="24.0" customHeight="1"/>
    <row r="378" ht="24.0" customHeight="1"/>
    <row r="379" ht="24.0" customHeight="1"/>
    <row r="380" ht="24.0" customHeight="1"/>
    <row r="381" ht="24.0" customHeight="1"/>
    <row r="382" ht="24.0" customHeight="1"/>
    <row r="383" ht="24.0" customHeight="1"/>
    <row r="384" ht="24.0" customHeight="1"/>
    <row r="385" ht="24.0" customHeight="1"/>
    <row r="386" ht="24.0" customHeight="1"/>
    <row r="387" ht="24.0" customHeight="1"/>
    <row r="388" ht="24.0" customHeight="1"/>
    <row r="389" ht="24.0" customHeight="1"/>
    <row r="390" ht="24.0" customHeight="1"/>
    <row r="391" ht="24.0" customHeight="1"/>
    <row r="392" ht="24.0" customHeight="1"/>
    <row r="393" ht="24.0" customHeight="1"/>
    <row r="394" ht="24.0" customHeight="1"/>
    <row r="395" ht="24.0" customHeight="1"/>
    <row r="396" ht="24.0" customHeight="1"/>
    <row r="397" ht="24.0" customHeight="1"/>
    <row r="398" ht="24.0" customHeight="1"/>
    <row r="399" ht="24.0" customHeight="1"/>
    <row r="400" ht="24.0" customHeight="1"/>
    <row r="401" ht="24.0" customHeight="1"/>
    <row r="402" ht="24.0" customHeight="1"/>
    <row r="403" ht="24.0" customHeight="1"/>
    <row r="404" ht="24.0" customHeight="1"/>
    <row r="405" ht="24.0" customHeight="1"/>
    <row r="406" ht="24.0" customHeight="1"/>
    <row r="407" ht="24.0" customHeight="1"/>
    <row r="408" ht="24.0" customHeight="1"/>
    <row r="409" ht="24.0" customHeight="1"/>
    <row r="410" ht="24.0" customHeight="1"/>
    <row r="411" ht="24.0" customHeight="1"/>
    <row r="412" ht="24.0" customHeight="1"/>
    <row r="413" ht="24.0" customHeight="1"/>
    <row r="414" ht="24.0" customHeight="1"/>
    <row r="415" ht="24.0" customHeight="1"/>
    <row r="416" ht="24.0" customHeight="1"/>
    <row r="417" ht="24.0" customHeight="1"/>
    <row r="418" ht="24.0" customHeight="1"/>
    <row r="419" ht="24.0" customHeight="1"/>
    <row r="420" ht="24.0" customHeight="1"/>
    <row r="421" ht="24.0" customHeight="1"/>
    <row r="422" ht="24.0" customHeight="1"/>
    <row r="423" ht="24.0" customHeight="1"/>
    <row r="424" ht="24.0" customHeight="1"/>
    <row r="425" ht="24.0" customHeight="1"/>
    <row r="426" ht="24.0" customHeight="1"/>
    <row r="427" ht="24.0" customHeight="1"/>
    <row r="428" ht="24.0" customHeight="1"/>
    <row r="429" ht="24.0" customHeight="1"/>
    <row r="430" ht="24.0" customHeight="1"/>
    <row r="431" ht="24.0" customHeight="1"/>
    <row r="432" ht="24.0" customHeight="1"/>
    <row r="433" ht="24.0" customHeight="1"/>
    <row r="434" ht="24.0" customHeight="1"/>
    <row r="435" ht="24.0" customHeight="1"/>
    <row r="436" ht="24.0" customHeight="1"/>
    <row r="437" ht="24.0" customHeight="1"/>
    <row r="438" ht="24.0" customHeight="1"/>
    <row r="439" ht="24.0" customHeight="1"/>
    <row r="440" ht="24.0" customHeight="1"/>
    <row r="441" ht="24.0" customHeight="1"/>
    <row r="442" ht="24.0" customHeight="1"/>
    <row r="443" ht="24.0" customHeight="1"/>
    <row r="444" ht="24.0" customHeight="1"/>
    <row r="445" ht="24.0" customHeight="1"/>
    <row r="446" ht="24.0" customHeight="1"/>
    <row r="447" ht="24.0" customHeight="1"/>
    <row r="448" ht="24.0" customHeight="1"/>
    <row r="449" ht="24.0" customHeight="1"/>
    <row r="450" ht="24.0" customHeight="1"/>
    <row r="451" ht="24.0" customHeight="1"/>
    <row r="452" ht="24.0" customHeight="1"/>
    <row r="453" ht="24.0" customHeight="1"/>
    <row r="454" ht="24.0" customHeight="1"/>
    <row r="455" ht="24.0" customHeight="1"/>
    <row r="456" ht="24.0" customHeight="1"/>
    <row r="457" ht="24.0" customHeight="1"/>
    <row r="458" ht="24.0" customHeight="1"/>
    <row r="459" ht="24.0" customHeight="1"/>
    <row r="460" ht="24.0" customHeight="1"/>
    <row r="461" ht="24.0" customHeight="1"/>
    <row r="462" ht="24.0" customHeight="1"/>
    <row r="463" ht="24.0" customHeight="1"/>
    <row r="464" ht="24.0" customHeight="1"/>
    <row r="465" ht="24.0" customHeight="1"/>
    <row r="466" ht="24.0" customHeight="1"/>
    <row r="467" ht="24.0" customHeight="1"/>
    <row r="468" ht="24.0" customHeight="1"/>
    <row r="469" ht="24.0" customHeight="1"/>
    <row r="470" ht="24.0" customHeight="1"/>
    <row r="471" ht="24.0" customHeight="1"/>
    <row r="472" ht="24.0" customHeight="1"/>
    <row r="473" ht="24.0" customHeight="1"/>
    <row r="474" ht="24.0" customHeight="1"/>
    <row r="475" ht="24.0" customHeight="1"/>
    <row r="476" ht="24.0" customHeight="1"/>
    <row r="477" ht="24.0" customHeight="1"/>
    <row r="478" ht="24.0" customHeight="1"/>
    <row r="479" ht="24.0" customHeight="1"/>
    <row r="480" ht="24.0" customHeight="1"/>
    <row r="481" ht="24.0" customHeight="1"/>
    <row r="482" ht="24.0" customHeight="1"/>
    <row r="483" ht="24.0" customHeight="1"/>
    <row r="484" ht="24.0" customHeight="1"/>
    <row r="485" ht="24.0" customHeight="1"/>
    <row r="486" ht="24.0" customHeight="1"/>
    <row r="487" ht="24.0" customHeight="1"/>
    <row r="488" ht="24.0" customHeight="1"/>
    <row r="489" ht="24.0" customHeight="1"/>
    <row r="490" ht="24.0" customHeight="1"/>
    <row r="491" ht="24.0" customHeight="1"/>
    <row r="492" ht="24.0" customHeight="1"/>
    <row r="493" ht="24.0" customHeight="1"/>
    <row r="494" ht="24.0" customHeight="1"/>
    <row r="495" ht="24.0" customHeight="1"/>
    <row r="496" ht="24.0" customHeight="1"/>
    <row r="497" ht="24.0" customHeight="1"/>
    <row r="498" ht="24.0" customHeight="1"/>
    <row r="499" ht="24.0" customHeight="1"/>
    <row r="500" ht="24.0" customHeight="1"/>
    <row r="501" ht="24.0" customHeight="1"/>
    <row r="502" ht="24.0" customHeight="1"/>
    <row r="503" ht="24.0" customHeight="1"/>
    <row r="504" ht="24.0" customHeight="1"/>
    <row r="505" ht="24.0" customHeight="1"/>
    <row r="506" ht="24.0" customHeight="1"/>
    <row r="507" ht="24.0" customHeight="1"/>
    <row r="508" ht="24.0" customHeight="1"/>
    <row r="509" ht="24.0" customHeight="1"/>
    <row r="510" ht="24.0" customHeight="1"/>
    <row r="511" ht="24.0" customHeight="1"/>
    <row r="512" ht="24.0" customHeight="1"/>
    <row r="513" ht="24.0" customHeight="1"/>
    <row r="514" ht="24.0" customHeight="1"/>
    <row r="515" ht="24.0" customHeight="1"/>
    <row r="516" ht="24.0" customHeight="1"/>
    <row r="517" ht="24.0" customHeight="1"/>
    <row r="518" ht="24.0" customHeight="1"/>
    <row r="519" ht="24.0" customHeight="1"/>
    <row r="520" ht="24.0" customHeight="1"/>
    <row r="521" ht="24.0" customHeight="1"/>
    <row r="522" ht="24.0" customHeight="1"/>
    <row r="523" ht="24.0" customHeight="1"/>
    <row r="524" ht="24.0" customHeight="1"/>
    <row r="525" ht="24.0" customHeight="1"/>
    <row r="526" ht="24.0" customHeight="1"/>
    <row r="527" ht="24.0" customHeight="1"/>
    <row r="528" ht="24.0" customHeight="1"/>
    <row r="529" ht="24.0" customHeight="1"/>
    <row r="530" ht="24.0" customHeight="1"/>
    <row r="531" ht="24.0" customHeight="1"/>
    <row r="532" ht="24.0" customHeight="1"/>
    <row r="533" ht="24.0" customHeight="1"/>
    <row r="534" ht="24.0" customHeight="1"/>
    <row r="535" ht="24.0" customHeight="1"/>
    <row r="536" ht="24.0" customHeight="1"/>
    <row r="537" ht="24.0" customHeight="1"/>
    <row r="538" ht="24.0" customHeight="1"/>
    <row r="539" ht="24.0" customHeight="1"/>
    <row r="540" ht="24.0" customHeight="1"/>
    <row r="541" ht="24.0" customHeight="1"/>
    <row r="542" ht="24.0" customHeight="1"/>
    <row r="543" ht="24.0" customHeight="1"/>
    <row r="544" ht="24.0" customHeight="1"/>
    <row r="545" ht="24.0" customHeight="1"/>
    <row r="546" ht="24.0" customHeight="1"/>
    <row r="547" ht="24.0" customHeight="1"/>
    <row r="548" ht="24.0" customHeight="1"/>
    <row r="549" ht="24.0" customHeight="1"/>
    <row r="550" ht="24.0" customHeight="1"/>
    <row r="551" ht="24.0" customHeight="1"/>
    <row r="552" ht="24.0" customHeight="1"/>
    <row r="553" ht="24.0" customHeight="1"/>
    <row r="554" ht="24.0" customHeight="1"/>
    <row r="555" ht="24.0" customHeight="1"/>
    <row r="556" ht="24.0" customHeight="1"/>
    <row r="557" ht="24.0" customHeight="1"/>
    <row r="558" ht="24.0" customHeight="1"/>
    <row r="559" ht="24.0" customHeight="1"/>
    <row r="560" ht="24.0" customHeight="1"/>
    <row r="561" ht="24.0" customHeight="1"/>
    <row r="562" ht="24.0" customHeight="1"/>
    <row r="563" ht="24.0" customHeight="1"/>
    <row r="564" ht="24.0" customHeight="1"/>
    <row r="565" ht="24.0" customHeight="1"/>
    <row r="566" ht="24.0" customHeight="1"/>
    <row r="567" ht="24.0" customHeight="1"/>
    <row r="568" ht="24.0" customHeight="1"/>
    <row r="569" ht="24.0" customHeight="1"/>
    <row r="570" ht="24.0" customHeight="1"/>
    <row r="571" ht="24.0" customHeight="1"/>
    <row r="572" ht="24.0" customHeight="1"/>
    <row r="573" ht="24.0" customHeight="1"/>
    <row r="574" ht="24.0" customHeight="1"/>
    <row r="575" ht="24.0" customHeight="1"/>
    <row r="576" ht="24.0" customHeight="1"/>
    <row r="577" ht="24.0" customHeight="1"/>
    <row r="578" ht="24.0" customHeight="1"/>
    <row r="579" ht="24.0" customHeight="1"/>
    <row r="580" ht="24.0" customHeight="1"/>
    <row r="581" ht="24.0" customHeight="1"/>
    <row r="582" ht="24.0" customHeight="1"/>
    <row r="583" ht="24.0" customHeight="1"/>
    <row r="584" ht="24.0" customHeight="1"/>
    <row r="585" ht="24.0" customHeight="1"/>
    <row r="586" ht="24.0" customHeight="1"/>
    <row r="587" ht="24.0" customHeight="1"/>
    <row r="588" ht="24.0" customHeight="1"/>
    <row r="589" ht="24.0" customHeight="1"/>
    <row r="590" ht="24.0" customHeight="1"/>
    <row r="591" ht="24.0" customHeight="1"/>
    <row r="592" ht="24.0" customHeight="1"/>
    <row r="593" ht="24.0" customHeight="1"/>
    <row r="594" ht="24.0" customHeight="1"/>
    <row r="595" ht="24.0" customHeight="1"/>
    <row r="596" ht="24.0" customHeight="1"/>
    <row r="597" ht="24.0" customHeight="1"/>
    <row r="598" ht="24.0" customHeight="1"/>
    <row r="599" ht="24.0" customHeight="1"/>
    <row r="600" ht="24.0" customHeight="1"/>
    <row r="601" ht="24.0" customHeight="1"/>
    <row r="602" ht="24.0" customHeight="1"/>
    <row r="603" ht="24.0" customHeight="1"/>
    <row r="604" ht="24.0" customHeight="1"/>
    <row r="605" ht="24.0" customHeight="1"/>
    <row r="606" ht="24.0" customHeight="1"/>
    <row r="607" ht="24.0" customHeight="1"/>
    <row r="608" ht="24.0" customHeight="1"/>
    <row r="609" ht="24.0" customHeight="1"/>
    <row r="610" ht="24.0" customHeight="1"/>
    <row r="611" ht="24.0" customHeight="1"/>
    <row r="612" ht="24.0" customHeight="1"/>
    <row r="613" ht="24.0" customHeight="1"/>
    <row r="614" ht="24.0" customHeight="1"/>
    <row r="615" ht="24.0" customHeight="1"/>
    <row r="616" ht="24.0" customHeight="1"/>
    <row r="617" ht="24.0" customHeight="1"/>
    <row r="618" ht="24.0" customHeight="1"/>
    <row r="619" ht="24.0" customHeight="1"/>
    <row r="620" ht="24.0" customHeight="1"/>
    <row r="621" ht="24.0" customHeight="1"/>
    <row r="622" ht="24.0" customHeight="1"/>
    <row r="623" ht="24.0" customHeight="1"/>
    <row r="624" ht="24.0" customHeight="1"/>
    <row r="625" ht="24.0" customHeight="1"/>
    <row r="626" ht="24.0" customHeight="1"/>
    <row r="627" ht="24.0" customHeight="1"/>
    <row r="628" ht="24.0" customHeight="1"/>
    <row r="629" ht="24.0" customHeight="1"/>
    <row r="630" ht="24.0" customHeight="1"/>
    <row r="631" ht="24.0" customHeight="1"/>
    <row r="632" ht="24.0" customHeight="1"/>
    <row r="633" ht="24.0" customHeight="1"/>
    <row r="634" ht="24.0" customHeight="1"/>
    <row r="635" ht="24.0" customHeight="1"/>
    <row r="636" ht="24.0" customHeight="1"/>
    <row r="637" ht="24.0" customHeight="1"/>
    <row r="638" ht="24.0" customHeight="1"/>
    <row r="639" ht="24.0" customHeight="1"/>
    <row r="640" ht="24.0" customHeight="1"/>
    <row r="641" ht="24.0" customHeight="1"/>
    <row r="642" ht="24.0" customHeight="1"/>
    <row r="643" ht="24.0" customHeight="1"/>
    <row r="644" ht="24.0" customHeight="1"/>
    <row r="645" ht="24.0" customHeight="1"/>
    <row r="646" ht="24.0" customHeight="1"/>
    <row r="647" ht="24.0" customHeight="1"/>
    <row r="648" ht="24.0" customHeight="1"/>
    <row r="649" ht="24.0" customHeight="1"/>
    <row r="650" ht="24.0" customHeight="1"/>
    <row r="651" ht="24.0" customHeight="1"/>
    <row r="652" ht="24.0" customHeight="1"/>
    <row r="653" ht="24.0" customHeight="1"/>
    <row r="654" ht="24.0" customHeight="1"/>
    <row r="655" ht="24.0" customHeight="1"/>
    <row r="656" ht="24.0" customHeight="1"/>
    <row r="657" ht="24.0" customHeight="1"/>
    <row r="658" ht="24.0" customHeight="1"/>
    <row r="659" ht="24.0" customHeight="1"/>
    <row r="660" ht="24.0" customHeight="1"/>
    <row r="661" ht="24.0" customHeight="1"/>
    <row r="662" ht="24.0" customHeight="1"/>
    <row r="663" ht="24.0" customHeight="1"/>
    <row r="664" ht="24.0" customHeight="1"/>
    <row r="665" ht="24.0" customHeight="1"/>
    <row r="666" ht="24.0" customHeight="1"/>
    <row r="667" ht="24.0" customHeight="1"/>
    <row r="668" ht="24.0" customHeight="1"/>
    <row r="669" ht="24.0" customHeight="1"/>
    <row r="670" ht="24.0" customHeight="1"/>
    <row r="671" ht="24.0" customHeight="1"/>
    <row r="672" ht="24.0" customHeight="1"/>
    <row r="673" ht="24.0" customHeight="1"/>
    <row r="674" ht="24.0" customHeight="1"/>
    <row r="675" ht="24.0" customHeight="1"/>
    <row r="676" ht="24.0" customHeight="1"/>
    <row r="677" ht="24.0" customHeight="1"/>
    <row r="678" ht="24.0" customHeight="1"/>
    <row r="679" ht="24.0" customHeight="1"/>
    <row r="680" ht="24.0" customHeight="1"/>
    <row r="681" ht="24.0" customHeight="1"/>
    <row r="682" ht="24.0" customHeight="1"/>
    <row r="683" ht="24.0" customHeight="1"/>
    <row r="684" ht="24.0" customHeight="1"/>
    <row r="685" ht="24.0" customHeight="1"/>
    <row r="686" ht="24.0" customHeight="1"/>
    <row r="687" ht="24.0" customHeight="1"/>
    <row r="688" ht="24.0" customHeight="1"/>
    <row r="689" ht="24.0" customHeight="1"/>
    <row r="690" ht="24.0" customHeight="1"/>
    <row r="691" ht="24.0" customHeight="1"/>
    <row r="692" ht="24.0" customHeight="1"/>
    <row r="693" ht="24.0" customHeight="1"/>
    <row r="694" ht="24.0" customHeight="1"/>
    <row r="695" ht="24.0" customHeight="1"/>
    <row r="696" ht="24.0" customHeight="1"/>
    <row r="697" ht="24.0" customHeight="1"/>
    <row r="698" ht="24.0" customHeight="1"/>
    <row r="699" ht="24.0" customHeight="1"/>
    <row r="700" ht="24.0" customHeight="1"/>
    <row r="701" ht="24.0" customHeight="1"/>
    <row r="702" ht="24.0" customHeight="1"/>
    <row r="703" ht="24.0" customHeight="1"/>
    <row r="704" ht="24.0" customHeight="1"/>
    <row r="705" ht="24.0" customHeight="1"/>
    <row r="706" ht="24.0" customHeight="1"/>
    <row r="707" ht="24.0" customHeight="1"/>
    <row r="708" ht="24.0" customHeight="1"/>
    <row r="709" ht="24.0" customHeight="1"/>
    <row r="710" ht="24.0" customHeight="1"/>
    <row r="711" ht="24.0" customHeight="1"/>
    <row r="712" ht="24.0" customHeight="1"/>
    <row r="713" ht="24.0" customHeight="1"/>
    <row r="714" ht="24.0" customHeight="1"/>
    <row r="715" ht="24.0" customHeight="1"/>
    <row r="716" ht="24.0" customHeight="1"/>
    <row r="717" ht="24.0" customHeight="1"/>
    <row r="718" ht="24.0" customHeight="1"/>
    <row r="719" ht="24.0" customHeight="1"/>
    <row r="720" ht="24.0" customHeight="1"/>
    <row r="721" ht="24.0" customHeight="1"/>
    <row r="722" ht="24.0" customHeight="1"/>
    <row r="723" ht="24.0" customHeight="1"/>
    <row r="724" ht="24.0" customHeight="1"/>
    <row r="725" ht="24.0" customHeight="1"/>
    <row r="726" ht="24.0" customHeight="1"/>
    <row r="727" ht="24.0" customHeight="1"/>
    <row r="728" ht="24.0" customHeight="1"/>
    <row r="729" ht="24.0" customHeight="1"/>
    <row r="730" ht="24.0" customHeight="1"/>
    <row r="731" ht="24.0" customHeight="1"/>
    <row r="732" ht="24.0" customHeight="1"/>
    <row r="733" ht="24.0" customHeight="1"/>
    <row r="734" ht="24.0" customHeight="1"/>
    <row r="735" ht="24.0" customHeight="1"/>
    <row r="736" ht="24.0" customHeight="1"/>
    <row r="737" ht="24.0" customHeight="1"/>
    <row r="738" ht="24.0" customHeight="1"/>
    <row r="739" ht="24.0" customHeight="1"/>
    <row r="740" ht="24.0" customHeight="1"/>
    <row r="741" ht="24.0" customHeight="1"/>
    <row r="742" ht="24.0" customHeight="1"/>
    <row r="743" ht="24.0" customHeight="1"/>
    <row r="744" ht="24.0" customHeight="1"/>
    <row r="745" ht="24.0" customHeight="1"/>
    <row r="746" ht="24.0" customHeight="1"/>
    <row r="747" ht="24.0" customHeight="1"/>
    <row r="748" ht="24.0" customHeight="1"/>
    <row r="749" ht="24.0" customHeight="1"/>
    <row r="750" ht="24.0" customHeight="1"/>
    <row r="751" ht="24.0" customHeight="1"/>
    <row r="752" ht="24.0" customHeight="1"/>
    <row r="753" ht="24.0" customHeight="1"/>
    <row r="754" ht="24.0" customHeight="1"/>
    <row r="755" ht="24.0" customHeight="1"/>
    <row r="756" ht="24.0" customHeight="1"/>
    <row r="757" ht="24.0" customHeight="1"/>
    <row r="758" ht="24.0" customHeight="1"/>
    <row r="759" ht="24.0" customHeight="1"/>
    <row r="760" ht="24.0" customHeight="1"/>
    <row r="761" ht="24.0" customHeight="1"/>
    <row r="762" ht="24.0" customHeight="1"/>
    <row r="763" ht="24.0" customHeight="1"/>
    <row r="764" ht="24.0" customHeight="1"/>
    <row r="765" ht="24.0" customHeight="1"/>
    <row r="766" ht="24.0" customHeight="1"/>
    <row r="767" ht="24.0" customHeight="1"/>
    <row r="768" ht="24.0" customHeight="1"/>
    <row r="769" ht="24.0" customHeight="1"/>
    <row r="770" ht="24.0" customHeight="1"/>
    <row r="771" ht="24.0" customHeight="1"/>
    <row r="772" ht="24.0" customHeight="1"/>
    <row r="773" ht="24.0" customHeight="1"/>
    <row r="774" ht="24.0" customHeight="1"/>
    <row r="775" ht="24.0" customHeight="1"/>
    <row r="776" ht="24.0" customHeight="1"/>
    <row r="777" ht="24.0" customHeight="1"/>
    <row r="778" ht="24.0" customHeight="1"/>
    <row r="779" ht="24.0" customHeight="1"/>
    <row r="780" ht="24.0" customHeight="1"/>
    <row r="781" ht="24.0" customHeight="1"/>
    <row r="782" ht="24.0" customHeight="1"/>
    <row r="783" ht="24.0" customHeight="1"/>
    <row r="784" ht="24.0" customHeight="1"/>
    <row r="785" ht="24.0" customHeight="1"/>
    <row r="786" ht="24.0" customHeight="1"/>
    <row r="787" ht="24.0" customHeight="1"/>
    <row r="788" ht="24.0" customHeight="1"/>
    <row r="789" ht="24.0" customHeight="1"/>
    <row r="790" ht="24.0" customHeight="1"/>
    <row r="791" ht="24.0" customHeight="1"/>
    <row r="792" ht="24.0" customHeight="1"/>
    <row r="793" ht="24.0" customHeight="1"/>
    <row r="794" ht="24.0" customHeight="1"/>
    <row r="795" ht="24.0" customHeight="1"/>
    <row r="796" ht="24.0" customHeight="1"/>
    <row r="797" ht="24.0" customHeight="1"/>
    <row r="798" ht="24.0" customHeight="1"/>
    <row r="799" ht="24.0" customHeight="1"/>
    <row r="800" ht="24.0" customHeight="1"/>
    <row r="801" ht="24.0" customHeight="1"/>
    <row r="802" ht="24.0" customHeight="1"/>
    <row r="803" ht="24.0" customHeight="1"/>
    <row r="804" ht="24.0" customHeight="1"/>
    <row r="805" ht="24.0" customHeight="1"/>
    <row r="806" ht="24.0" customHeight="1"/>
    <row r="807" ht="24.0" customHeight="1"/>
    <row r="808" ht="24.0" customHeight="1"/>
    <row r="809" ht="24.0" customHeight="1"/>
    <row r="810" ht="24.0" customHeight="1"/>
    <row r="811" ht="24.0" customHeight="1"/>
    <row r="812" ht="24.0" customHeight="1"/>
    <row r="813" ht="24.0" customHeight="1"/>
    <row r="814" ht="24.0" customHeight="1"/>
    <row r="815" ht="24.0" customHeight="1"/>
    <row r="816" ht="24.0" customHeight="1"/>
    <row r="817" ht="24.0" customHeight="1"/>
    <row r="818" ht="24.0" customHeight="1"/>
    <row r="819" ht="24.0" customHeight="1"/>
    <row r="820" ht="24.0" customHeight="1"/>
    <row r="821" ht="24.0" customHeight="1"/>
    <row r="822" ht="24.0" customHeight="1"/>
    <row r="823" ht="24.0" customHeight="1"/>
    <row r="824" ht="24.0" customHeight="1"/>
    <row r="825" ht="24.0" customHeight="1"/>
    <row r="826" ht="24.0" customHeight="1"/>
    <row r="827" ht="24.0" customHeight="1"/>
    <row r="828" ht="24.0" customHeight="1"/>
    <row r="829" ht="24.0" customHeight="1"/>
    <row r="830" ht="24.0" customHeight="1"/>
    <row r="831" ht="24.0" customHeight="1"/>
    <row r="832" ht="24.0" customHeight="1"/>
    <row r="833" ht="24.0" customHeight="1"/>
    <row r="834" ht="24.0" customHeight="1"/>
    <row r="835" ht="24.0" customHeight="1"/>
    <row r="836" ht="24.0" customHeight="1"/>
    <row r="837" ht="24.0" customHeight="1"/>
    <row r="838" ht="24.0" customHeight="1"/>
    <row r="839" ht="24.0" customHeight="1"/>
    <row r="840" ht="24.0" customHeight="1"/>
    <row r="841" ht="24.0" customHeight="1"/>
    <row r="842" ht="24.0" customHeight="1"/>
    <row r="843" ht="24.0" customHeight="1"/>
    <row r="844" ht="24.0" customHeight="1"/>
    <row r="845" ht="24.0" customHeight="1"/>
    <row r="846" ht="24.0" customHeight="1"/>
    <row r="847" ht="24.0" customHeight="1"/>
    <row r="848" ht="24.0" customHeight="1"/>
    <row r="849" ht="24.0" customHeight="1"/>
    <row r="850" ht="24.0" customHeight="1"/>
    <row r="851" ht="24.0" customHeight="1"/>
    <row r="852" ht="24.0" customHeight="1"/>
    <row r="853" ht="24.0" customHeight="1"/>
    <row r="854" ht="24.0" customHeight="1"/>
    <row r="855" ht="24.0" customHeight="1"/>
    <row r="856" ht="24.0" customHeight="1"/>
    <row r="857" ht="24.0" customHeight="1"/>
    <row r="858" ht="24.0" customHeight="1"/>
    <row r="859" ht="24.0" customHeight="1"/>
    <row r="860" ht="24.0" customHeight="1"/>
    <row r="861" ht="24.0" customHeight="1"/>
    <row r="862" ht="24.0" customHeight="1"/>
    <row r="863" ht="24.0" customHeight="1"/>
    <row r="864" ht="24.0" customHeight="1"/>
    <row r="865" ht="24.0" customHeight="1"/>
    <row r="866" ht="24.0" customHeight="1"/>
    <row r="867" ht="24.0" customHeight="1"/>
    <row r="868" ht="24.0" customHeight="1"/>
    <row r="869" ht="24.0" customHeight="1"/>
    <row r="870" ht="24.0" customHeight="1"/>
    <row r="871" ht="24.0" customHeight="1"/>
    <row r="872" ht="24.0" customHeight="1"/>
    <row r="873" ht="24.0" customHeight="1"/>
    <row r="874" ht="24.0" customHeight="1"/>
    <row r="875" ht="24.0" customHeight="1"/>
    <row r="876" ht="24.0" customHeight="1"/>
    <row r="877" ht="24.0" customHeight="1"/>
    <row r="878" ht="24.0" customHeight="1"/>
    <row r="879" ht="24.0" customHeight="1"/>
    <row r="880" ht="24.0" customHeight="1"/>
    <row r="881" ht="24.0" customHeight="1"/>
    <row r="882" ht="24.0" customHeight="1"/>
    <row r="883" ht="24.0" customHeight="1"/>
    <row r="884" ht="24.0" customHeight="1"/>
    <row r="885" ht="24.0" customHeight="1"/>
    <row r="886" ht="24.0" customHeight="1"/>
    <row r="887" ht="24.0" customHeight="1"/>
    <row r="888" ht="24.0" customHeight="1"/>
    <row r="889" ht="24.0" customHeight="1"/>
    <row r="890" ht="24.0" customHeight="1"/>
    <row r="891" ht="24.0" customHeight="1"/>
    <row r="892" ht="24.0" customHeight="1"/>
    <row r="893" ht="24.0" customHeight="1"/>
    <row r="894" ht="24.0" customHeight="1"/>
    <row r="895" ht="24.0" customHeight="1"/>
    <row r="896" ht="24.0" customHeight="1"/>
    <row r="897" ht="24.0" customHeight="1"/>
    <row r="898" ht="24.0" customHeight="1"/>
    <row r="899" ht="24.0" customHeight="1"/>
    <row r="900" ht="24.0" customHeight="1"/>
    <row r="901" ht="24.0" customHeight="1"/>
    <row r="902" ht="24.0" customHeight="1"/>
    <row r="903" ht="24.0" customHeight="1"/>
    <row r="904" ht="24.0" customHeight="1"/>
    <row r="905" ht="24.0" customHeight="1"/>
    <row r="906" ht="24.0" customHeight="1"/>
    <row r="907" ht="24.0" customHeight="1"/>
    <row r="908" ht="24.0" customHeight="1"/>
    <row r="909" ht="24.0" customHeight="1"/>
    <row r="910" ht="24.0" customHeight="1"/>
    <row r="911" ht="24.0" customHeight="1"/>
    <row r="912" ht="24.0" customHeight="1"/>
    <row r="913" ht="24.0" customHeight="1"/>
    <row r="914" ht="24.0" customHeight="1"/>
    <row r="915" ht="24.0" customHeight="1"/>
    <row r="916" ht="24.0" customHeight="1"/>
    <row r="917" ht="24.0" customHeight="1"/>
    <row r="918" ht="24.0" customHeight="1"/>
    <row r="919" ht="24.0" customHeight="1"/>
    <row r="920" ht="24.0" customHeight="1"/>
    <row r="921" ht="24.0" customHeight="1"/>
    <row r="922" ht="24.0" customHeight="1"/>
    <row r="923" ht="24.0" customHeight="1"/>
    <row r="924" ht="24.0" customHeight="1"/>
    <row r="925" ht="24.0" customHeight="1"/>
    <row r="926" ht="24.0" customHeight="1"/>
    <row r="927" ht="24.0" customHeight="1"/>
    <row r="928" ht="24.0" customHeight="1"/>
    <row r="929" ht="24.0" customHeight="1"/>
    <row r="930" ht="24.0" customHeight="1"/>
    <row r="931" ht="24.0" customHeight="1"/>
    <row r="932" ht="24.0" customHeight="1"/>
    <row r="933" ht="24.0" customHeight="1"/>
    <row r="934" ht="24.0" customHeight="1"/>
    <row r="935" ht="24.0" customHeight="1"/>
    <row r="936" ht="24.0" customHeight="1"/>
    <row r="937" ht="24.0" customHeight="1"/>
    <row r="938" ht="24.0" customHeight="1"/>
    <row r="939" ht="24.0" customHeight="1"/>
    <row r="940" ht="24.0" customHeight="1"/>
    <row r="941" ht="24.0" customHeight="1"/>
    <row r="942" ht="24.0" customHeight="1"/>
    <row r="943" ht="24.0" customHeight="1"/>
    <row r="944" ht="24.0" customHeight="1"/>
    <row r="945" ht="24.0" customHeight="1"/>
    <row r="946" ht="24.0" customHeight="1"/>
    <row r="947" ht="24.0" customHeight="1"/>
    <row r="948" ht="24.0" customHeight="1"/>
    <row r="949" ht="24.0" customHeight="1"/>
    <row r="950" ht="24.0" customHeight="1"/>
    <row r="951" ht="24.0" customHeight="1"/>
    <row r="952" ht="24.0" customHeight="1"/>
    <row r="953" ht="24.0" customHeight="1"/>
    <row r="954" ht="24.0" customHeight="1"/>
    <row r="955" ht="24.0" customHeight="1"/>
    <row r="956" ht="24.0" customHeight="1"/>
    <row r="957" ht="24.0" customHeight="1"/>
    <row r="958" ht="24.0" customHeight="1"/>
    <row r="959" ht="24.0" customHeight="1"/>
    <row r="960" ht="24.0" customHeight="1"/>
    <row r="961" ht="24.0" customHeight="1"/>
    <row r="962" ht="24.0" customHeight="1"/>
    <row r="963" ht="24.0" customHeight="1"/>
    <row r="964" ht="24.0" customHeight="1"/>
    <row r="965" ht="24.0" customHeight="1"/>
    <row r="966" ht="24.0" customHeight="1"/>
    <row r="967" ht="24.0" customHeight="1"/>
    <row r="968" ht="24.0" customHeight="1"/>
    <row r="969" ht="24.0" customHeight="1"/>
    <row r="970" ht="24.0" customHeight="1"/>
    <row r="971" ht="24.0" customHeight="1"/>
    <row r="972" ht="24.0" customHeight="1"/>
    <row r="973" ht="24.0" customHeight="1"/>
    <row r="974" ht="24.0" customHeight="1"/>
    <row r="975" ht="24.0" customHeight="1"/>
    <row r="976" ht="24.0" customHeight="1"/>
    <row r="977" ht="24.0" customHeight="1"/>
    <row r="978" ht="24.0" customHeight="1"/>
    <row r="979" ht="24.0" customHeight="1"/>
    <row r="980" ht="24.0" customHeight="1"/>
    <row r="981" ht="24.0" customHeight="1"/>
    <row r="982" ht="24.0" customHeight="1"/>
    <row r="983" ht="24.0" customHeight="1"/>
    <row r="984" ht="24.0" customHeight="1"/>
    <row r="985" ht="24.0" customHeight="1"/>
    <row r="986" ht="24.0" customHeight="1"/>
    <row r="987" ht="24.0" customHeight="1"/>
    <row r="988" ht="24.0" customHeight="1"/>
    <row r="989" ht="24.0" customHeight="1"/>
    <row r="990" ht="24.0" customHeight="1"/>
    <row r="991" ht="24.0" customHeight="1"/>
    <row r="992" ht="24.0" customHeight="1"/>
    <row r="993" ht="24.0" customHeight="1"/>
    <row r="994" ht="24.0" customHeight="1"/>
    <row r="995" ht="24.0" customHeight="1"/>
    <row r="996" ht="24.0" customHeight="1"/>
    <row r="997" ht="24.0" customHeight="1"/>
    <row r="998" ht="24.0" customHeight="1"/>
    <row r="999" ht="24.0" customHeight="1"/>
    <row r="1000" ht="24.0" customHeight="1"/>
  </sheetData>
  <printOptions/>
  <pageMargins bottom="0.75" footer="0.0" header="0.0" left="0.7" right="0.7" top="0.75"/>
  <pageSetup orientation="landscape"/>
  <drawing r:id="rId1"/>
</worksheet>
</file>